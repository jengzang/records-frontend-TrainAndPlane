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engzaang\myfiles\统计数据\轨道交通\"/>
    </mc:Choice>
  </mc:AlternateContent>
  <xr:revisionPtr revIDLastSave="0" documentId="13_ncr:1_{94B4F0DA-FCEA-4513-B2B0-4B0002D8D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  <sheet name="processed" sheetId="2" r:id="rId2"/>
    <sheet name="rank" sheetId="4" r:id="rId3"/>
    <sheet name="detailed_route" sheetId="7" r:id="rId4"/>
    <sheet name="车型大全" sheetId="5" r:id="rId5"/>
    <sheet name="test" sheetId="3" r:id="rId6"/>
    <sheet name="test2" sheetId="6" r:id="rId7"/>
    <sheet name="detailed_route_test" sheetId="9" r:id="rId8"/>
  </sheets>
  <definedNames>
    <definedName name="_xlnm._FilterDatabase" localSheetId="0" hidden="1">all!$A$1:$AF$71</definedName>
    <definedName name="_xlnm._FilterDatabase" localSheetId="7" hidden="1">detailed_route_test!$A$1:$G$204</definedName>
    <definedName name="_xlnm._FilterDatabase" localSheetId="2" hidden="1">rank!$A$1:$I$30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3" i="1" l="1"/>
  <c r="N73" i="1"/>
  <c r="Q73" i="1"/>
  <c r="Q72" i="1"/>
  <c r="N72" i="1" s="1"/>
  <c r="M72" i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" i="2"/>
  <c r="AE2" i="7"/>
  <c r="F2" i="7"/>
  <c r="K2" i="7"/>
  <c r="M2" i="7"/>
  <c r="P2" i="7"/>
  <c r="R2" i="7"/>
  <c r="U2" i="7"/>
  <c r="W2" i="7"/>
  <c r="Z2" i="7"/>
  <c r="AB2" i="7"/>
  <c r="H2" i="7"/>
  <c r="B2" i="3" l="1" a="1"/>
  <c r="B2" i="3" s="1"/>
  <c r="L26" i="2"/>
  <c r="N26" i="2"/>
  <c r="O26" i="2"/>
  <c r="B26" i="4"/>
  <c r="B19" i="4"/>
  <c r="B25" i="4"/>
  <c r="B29" i="4"/>
  <c r="B23" i="4"/>
  <c r="B28" i="4"/>
  <c r="B31" i="4"/>
  <c r="B20" i="4"/>
  <c r="B24" i="4"/>
  <c r="G26" i="4"/>
  <c r="G19" i="4"/>
  <c r="G25" i="4"/>
  <c r="G29" i="4"/>
  <c r="G23" i="4"/>
  <c r="G28" i="4"/>
  <c r="G31" i="4"/>
  <c r="G20" i="4"/>
  <c r="G24" i="4"/>
  <c r="H42" i="2"/>
  <c r="H43" i="2"/>
  <c r="H44" i="2"/>
  <c r="H45" i="2"/>
  <c r="H46" i="2"/>
  <c r="H47" i="2"/>
  <c r="H48" i="2"/>
  <c r="H49" i="2"/>
  <c r="H50" i="2"/>
  <c r="C2" i="3" a="1"/>
  <c r="C2" i="3" s="1"/>
  <c r="E33" i="2"/>
  <c r="H31" i="4" s="1"/>
  <c r="E34" i="2"/>
  <c r="E35" i="2"/>
  <c r="H20" i="4" s="1"/>
  <c r="E36" i="2"/>
  <c r="H16" i="4" s="1"/>
  <c r="E37" i="2"/>
  <c r="H24" i="4" s="1"/>
  <c r="C31" i="2"/>
  <c r="C32" i="2"/>
  <c r="C33" i="2"/>
  <c r="C34" i="2"/>
  <c r="C35" i="2"/>
  <c r="C36" i="2"/>
  <c r="Q71" i="1"/>
  <c r="N71" i="1" s="1"/>
  <c r="M71" i="1"/>
  <c r="AM26" i="2"/>
  <c r="AN26" i="2" s="1"/>
  <c r="AO26" i="2"/>
  <c r="AP26" i="2" s="1"/>
  <c r="AI26" i="2"/>
  <c r="AJ26" i="2" s="1"/>
  <c r="Q70" i="1"/>
  <c r="N70" i="1" s="1"/>
  <c r="M70" i="1"/>
  <c r="M69" i="1"/>
  <c r="Q69" i="1"/>
  <c r="N69" i="1" s="1"/>
  <c r="Q68" i="1"/>
  <c r="N68" i="1" s="1"/>
  <c r="M68" i="1"/>
  <c r="Q67" i="1"/>
  <c r="N67" i="1" s="1"/>
  <c r="M67" i="1"/>
  <c r="Q66" i="1"/>
  <c r="N66" i="1" s="1"/>
  <c r="M66" i="1"/>
  <c r="AM25" i="2"/>
  <c r="AN25" i="2" s="1"/>
  <c r="AO25" i="2"/>
  <c r="AP25" i="2" s="1"/>
  <c r="AI25" i="2"/>
  <c r="AJ25" i="2" s="1"/>
  <c r="L27" i="2"/>
  <c r="N27" i="2"/>
  <c r="O27" i="2"/>
  <c r="Q64" i="1"/>
  <c r="N64" i="1" s="1"/>
  <c r="Q65" i="1"/>
  <c r="N65" i="1" s="1"/>
  <c r="Q63" i="1"/>
  <c r="M60" i="1"/>
  <c r="M61" i="1"/>
  <c r="M62" i="1"/>
  <c r="M63" i="1"/>
  <c r="M64" i="1"/>
  <c r="M65" i="1"/>
  <c r="Q62" i="1"/>
  <c r="Q61" i="1"/>
  <c r="N61" i="1" s="1"/>
  <c r="Q60" i="1"/>
  <c r="N60" i="1" s="1"/>
  <c r="B37" i="4"/>
  <c r="B8" i="4"/>
  <c r="B14" i="4"/>
  <c r="B18" i="4"/>
  <c r="A2" i="3" a="1"/>
  <c r="A2" i="3" s="1"/>
  <c r="E28" i="2"/>
  <c r="I45" i="2" s="1"/>
  <c r="E29" i="2"/>
  <c r="E30" i="2"/>
  <c r="E31" i="2"/>
  <c r="H23" i="4" s="1"/>
  <c r="E32" i="2"/>
  <c r="H28" i="4" s="1"/>
  <c r="C27" i="2"/>
  <c r="C28" i="2"/>
  <c r="C29" i="2"/>
  <c r="G10" i="4" s="1"/>
  <c r="C30" i="2"/>
  <c r="H35" i="4"/>
  <c r="H45" i="4"/>
  <c r="H34" i="4"/>
  <c r="G22" i="4"/>
  <c r="L22" i="2"/>
  <c r="N22" i="2"/>
  <c r="O22" i="2"/>
  <c r="L23" i="2"/>
  <c r="N23" i="2"/>
  <c r="O23" i="2"/>
  <c r="L24" i="2"/>
  <c r="N24" i="2"/>
  <c r="O24" i="2"/>
  <c r="L25" i="2"/>
  <c r="N25" i="2"/>
  <c r="O25" i="2"/>
  <c r="M59" i="1"/>
  <c r="Q59" i="1"/>
  <c r="AD59" i="1" s="1"/>
  <c r="M58" i="1"/>
  <c r="Q58" i="1"/>
  <c r="AD58" i="1" s="1"/>
  <c r="M57" i="1"/>
  <c r="Q57" i="1"/>
  <c r="AD57" i="1" s="1"/>
  <c r="M56" i="1"/>
  <c r="Q56" i="1"/>
  <c r="N56" i="1" s="1"/>
  <c r="Q55" i="1"/>
  <c r="N55" i="1" s="1"/>
  <c r="M55" i="1"/>
  <c r="Q54" i="1"/>
  <c r="N54" i="1" s="1"/>
  <c r="M54" i="1"/>
  <c r="M53" i="1"/>
  <c r="M52" i="1"/>
  <c r="Q53" i="1"/>
  <c r="N53" i="1" s="1"/>
  <c r="Q52" i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P21" i="2" s="1"/>
  <c r="AO22" i="2"/>
  <c r="AP22" i="2" s="1"/>
  <c r="AO23" i="2"/>
  <c r="AP23" i="2" s="1"/>
  <c r="AO24" i="2"/>
  <c r="AP24" i="2" s="1"/>
  <c r="AO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N21" i="2" s="1"/>
  <c r="AM22" i="2"/>
  <c r="AN22" i="2" s="1"/>
  <c r="AM23" i="2"/>
  <c r="AN23" i="2" s="1"/>
  <c r="AM24" i="2"/>
  <c r="AN24" i="2" s="1"/>
  <c r="AM3" i="2"/>
  <c r="AB4" i="2"/>
  <c r="AB5" i="2"/>
  <c r="AB6" i="2"/>
  <c r="AB7" i="2"/>
  <c r="AB8" i="2"/>
  <c r="AB9" i="2"/>
  <c r="AB10" i="2"/>
  <c r="AB11" i="2"/>
  <c r="AB12" i="2"/>
  <c r="AB13" i="2"/>
  <c r="AB3" i="2"/>
  <c r="AA4" i="2"/>
  <c r="AA5" i="2"/>
  <c r="AA6" i="2"/>
  <c r="AA7" i="2"/>
  <c r="AA8" i="2"/>
  <c r="AA9" i="2"/>
  <c r="AA10" i="2"/>
  <c r="AA11" i="2"/>
  <c r="AA12" i="2"/>
  <c r="AA13" i="2"/>
  <c r="AA3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17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3" i="2"/>
  <c r="P2" i="1"/>
  <c r="O2" i="1"/>
  <c r="M51" i="1"/>
  <c r="Q51" i="1"/>
  <c r="N51" i="1" s="1"/>
  <c r="AI24" i="2"/>
  <c r="AJ24" i="2" s="1"/>
  <c r="Q50" i="1"/>
  <c r="N50" i="1" s="1"/>
  <c r="M50" i="1"/>
  <c r="B49" i="4"/>
  <c r="B48" i="4"/>
  <c r="Q49" i="1"/>
  <c r="N49" i="1" s="1"/>
  <c r="M49" i="1"/>
  <c r="M48" i="1"/>
  <c r="M47" i="1"/>
  <c r="Q48" i="1"/>
  <c r="N48" i="1" s="1"/>
  <c r="Q47" i="1"/>
  <c r="E25" i="2"/>
  <c r="H19" i="4" s="1"/>
  <c r="E26" i="2"/>
  <c r="I44" i="2" s="1"/>
  <c r="E27" i="2"/>
  <c r="C23" i="2"/>
  <c r="C24" i="2"/>
  <c r="C25" i="2"/>
  <c r="G4" i="4" s="1"/>
  <c r="C26" i="2"/>
  <c r="G27" i="4" s="1"/>
  <c r="C4" i="2"/>
  <c r="C5" i="2"/>
  <c r="C6" i="2"/>
  <c r="G12" i="4" s="1"/>
  <c r="C7" i="2"/>
  <c r="G40" i="4" s="1"/>
  <c r="C8" i="2"/>
  <c r="C9" i="2"/>
  <c r="C10" i="2"/>
  <c r="C11" i="2"/>
  <c r="G32" i="4" s="1"/>
  <c r="C12" i="2"/>
  <c r="C13" i="2"/>
  <c r="G21" i="4" s="1"/>
  <c r="C14" i="2"/>
  <c r="C15" i="2"/>
  <c r="B46" i="4" s="1"/>
  <c r="C16" i="2"/>
  <c r="C17" i="2"/>
  <c r="C18" i="2"/>
  <c r="C19" i="2"/>
  <c r="G13" i="4" s="1"/>
  <c r="C20" i="2"/>
  <c r="C21" i="2"/>
  <c r="C22" i="2"/>
  <c r="C3" i="2"/>
  <c r="AK6" i="2"/>
  <c r="AK7" i="2"/>
  <c r="AK8" i="2"/>
  <c r="AK9" i="2"/>
  <c r="AK12" i="2"/>
  <c r="AK16" i="2"/>
  <c r="AK23" i="2"/>
  <c r="AL23" i="2" s="1"/>
  <c r="Z9" i="2"/>
  <c r="Z10" i="2"/>
  <c r="Z11" i="2"/>
  <c r="Z12" i="2"/>
  <c r="Z13" i="2"/>
  <c r="Z20" i="2"/>
  <c r="Z25" i="2"/>
  <c r="Z26" i="2"/>
  <c r="Z27" i="2"/>
  <c r="Z28" i="2"/>
  <c r="Z17" i="2"/>
  <c r="M3" i="2"/>
  <c r="M6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J21" i="2" s="1"/>
  <c r="AI22" i="2"/>
  <c r="AJ22" i="2" s="1"/>
  <c r="AI23" i="2"/>
  <c r="AJ23" i="2" s="1"/>
  <c r="AI3" i="2"/>
  <c r="L18" i="2"/>
  <c r="L19" i="2"/>
  <c r="L20" i="2"/>
  <c r="L21" i="2"/>
  <c r="L15" i="2"/>
  <c r="L16" i="2"/>
  <c r="L17" i="2"/>
  <c r="Y22" i="2"/>
  <c r="Y23" i="2"/>
  <c r="Y24" i="2"/>
  <c r="Y25" i="2"/>
  <c r="Y26" i="2"/>
  <c r="Y27" i="2"/>
  <c r="Y28" i="2"/>
  <c r="Y29" i="2"/>
  <c r="M46" i="1"/>
  <c r="Q46" i="1"/>
  <c r="N46" i="1" s="1"/>
  <c r="Q45" i="1"/>
  <c r="N45" i="1" s="1"/>
  <c r="M45" i="1"/>
  <c r="Q44" i="1"/>
  <c r="N44" i="1" s="1"/>
  <c r="M44" i="1"/>
  <c r="Q43" i="1"/>
  <c r="N43" i="1" s="1"/>
  <c r="M43" i="1"/>
  <c r="M15" i="1"/>
  <c r="Q15" i="1"/>
  <c r="N15" i="1" s="1"/>
  <c r="Q6" i="1"/>
  <c r="N6" i="1" s="1"/>
  <c r="Q7" i="1"/>
  <c r="N7" i="1" s="1"/>
  <c r="M6" i="1"/>
  <c r="M7" i="1"/>
  <c r="N3" i="1"/>
  <c r="Q5" i="1"/>
  <c r="Y4" i="2"/>
  <c r="Y5" i="2"/>
  <c r="Y6" i="2"/>
  <c r="Y7" i="2"/>
  <c r="Y8" i="2"/>
  <c r="Y9" i="2"/>
  <c r="Y10" i="2"/>
  <c r="Y11" i="2"/>
  <c r="Y3" i="2"/>
  <c r="Y18" i="2"/>
  <c r="Y19" i="2"/>
  <c r="Y20" i="2"/>
  <c r="Y21" i="2"/>
  <c r="Y17" i="2"/>
  <c r="L3" i="2"/>
  <c r="L4" i="2"/>
  <c r="L5" i="2"/>
  <c r="L6" i="2"/>
  <c r="L7" i="2"/>
  <c r="L8" i="2"/>
  <c r="L9" i="2"/>
  <c r="L10" i="2"/>
  <c r="L11" i="2"/>
  <c r="L12" i="2"/>
  <c r="L13" i="2"/>
  <c r="L14" i="2"/>
  <c r="G2" i="3" a="1"/>
  <c r="G2" i="3" s="1"/>
  <c r="F2" i="3" a="1"/>
  <c r="F2" i="3" s="1"/>
  <c r="E2" i="3" a="1"/>
  <c r="E2" i="3" s="1"/>
  <c r="Q38" i="1"/>
  <c r="E4" i="2"/>
  <c r="E5" i="2"/>
  <c r="E6" i="2"/>
  <c r="E7" i="2"/>
  <c r="E8" i="2"/>
  <c r="H21" i="4" s="1"/>
  <c r="E9" i="2"/>
  <c r="E10" i="2"/>
  <c r="B12" i="4" s="1"/>
  <c r="E11" i="2"/>
  <c r="H41" i="4" s="1"/>
  <c r="E12" i="2"/>
  <c r="E13" i="2"/>
  <c r="E14" i="2"/>
  <c r="E15" i="2"/>
  <c r="E16" i="2"/>
  <c r="H43" i="4" s="1"/>
  <c r="E17" i="2"/>
  <c r="E18" i="2"/>
  <c r="E19" i="2"/>
  <c r="H42" i="4" s="1"/>
  <c r="E20" i="2"/>
  <c r="E21" i="2"/>
  <c r="H44" i="4" s="1"/>
  <c r="E22" i="2"/>
  <c r="E23" i="2"/>
  <c r="H48" i="4" s="1"/>
  <c r="E24" i="2"/>
  <c r="H26" i="4" s="1"/>
  <c r="E3" i="2"/>
  <c r="N38" i="1"/>
  <c r="Q8" i="1"/>
  <c r="N8" i="1" s="1"/>
  <c r="Q9" i="1"/>
  <c r="N9" i="1" s="1"/>
  <c r="Q10" i="1"/>
  <c r="N10" i="1" s="1"/>
  <c r="Q11" i="1"/>
  <c r="N11" i="1" s="1"/>
  <c r="Q12" i="1"/>
  <c r="N12" i="1" s="1"/>
  <c r="Q13" i="1"/>
  <c r="N13" i="1" s="1"/>
  <c r="Q14" i="1"/>
  <c r="N14" i="1" s="1"/>
  <c r="Q16" i="1"/>
  <c r="N16" i="1" s="1"/>
  <c r="Q17" i="1"/>
  <c r="N17" i="1" s="1"/>
  <c r="Q18" i="1"/>
  <c r="N18" i="1" s="1"/>
  <c r="Q19" i="1"/>
  <c r="N19" i="1" s="1"/>
  <c r="Q20" i="1"/>
  <c r="N20" i="1" s="1"/>
  <c r="Q21" i="1"/>
  <c r="N21" i="1" s="1"/>
  <c r="Q22" i="1"/>
  <c r="N22" i="1" s="1"/>
  <c r="Q23" i="1"/>
  <c r="N23" i="1" s="1"/>
  <c r="Q24" i="1"/>
  <c r="N24" i="1" s="1"/>
  <c r="Q25" i="1"/>
  <c r="N25" i="1" s="1"/>
  <c r="Q26" i="1"/>
  <c r="N26" i="1" s="1"/>
  <c r="Q27" i="1"/>
  <c r="N27" i="1" s="1"/>
  <c r="Q28" i="1"/>
  <c r="N28" i="1" s="1"/>
  <c r="Q29" i="1"/>
  <c r="N29" i="1" s="1"/>
  <c r="Q30" i="1"/>
  <c r="N30" i="1" s="1"/>
  <c r="Q31" i="1"/>
  <c r="N31" i="1" s="1"/>
  <c r="Q32" i="1"/>
  <c r="N32" i="1" s="1"/>
  <c r="Q33" i="1"/>
  <c r="N33" i="1" s="1"/>
  <c r="Q34" i="1"/>
  <c r="N34" i="1" s="1"/>
  <c r="Q35" i="1"/>
  <c r="N35" i="1" s="1"/>
  <c r="Q36" i="1"/>
  <c r="N36" i="1" s="1"/>
  <c r="Q37" i="1"/>
  <c r="N37" i="1" s="1"/>
  <c r="Q39" i="1"/>
  <c r="N39" i="1" s="1"/>
  <c r="Q40" i="1"/>
  <c r="N40" i="1" s="1"/>
  <c r="Q41" i="1"/>
  <c r="N41" i="1" s="1"/>
  <c r="Q42" i="1"/>
  <c r="N42" i="1" s="1"/>
  <c r="Q4" i="1"/>
  <c r="N4" i="1" s="1"/>
  <c r="M3" i="1"/>
  <c r="M5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" i="1"/>
  <c r="G38" i="4" l="1"/>
  <c r="G36" i="4"/>
  <c r="G5" i="4"/>
  <c r="I20" i="4"/>
  <c r="I31" i="4"/>
  <c r="I50" i="2"/>
  <c r="G50" i="2" s="1"/>
  <c r="H25" i="4"/>
  <c r="I25" i="4" s="1"/>
  <c r="Z18" i="2"/>
  <c r="AD18" i="2" s="1"/>
  <c r="G15" i="4"/>
  <c r="I49" i="2"/>
  <c r="G49" i="2" s="1"/>
  <c r="G45" i="4"/>
  <c r="G16" i="4"/>
  <c r="I16" i="4" s="1"/>
  <c r="AK18" i="2"/>
  <c r="AS18" i="2" s="1"/>
  <c r="G9" i="4"/>
  <c r="AC18" i="2"/>
  <c r="AQ8" i="2"/>
  <c r="G46" i="4"/>
  <c r="I42" i="2"/>
  <c r="G42" i="2" s="1"/>
  <c r="G41" i="4"/>
  <c r="I41" i="4" s="1"/>
  <c r="H32" i="4"/>
  <c r="I32" i="4" s="1"/>
  <c r="G6" i="4"/>
  <c r="AK26" i="2"/>
  <c r="AL26" i="2" s="1"/>
  <c r="AT26" i="2" s="1"/>
  <c r="AS8" i="2"/>
  <c r="H49" i="4"/>
  <c r="G18" i="4"/>
  <c r="G14" i="4"/>
  <c r="G8" i="4"/>
  <c r="I48" i="2"/>
  <c r="G48" i="2" s="1"/>
  <c r="G48" i="4"/>
  <c r="I48" i="4" s="1"/>
  <c r="G37" i="4"/>
  <c r="G47" i="4"/>
  <c r="I47" i="2"/>
  <c r="G47" i="2" s="1"/>
  <c r="H3" i="4"/>
  <c r="G39" i="4"/>
  <c r="G2" i="4"/>
  <c r="I46" i="2"/>
  <c r="G46" i="2" s="1"/>
  <c r="G11" i="4"/>
  <c r="G42" i="4"/>
  <c r="I42" i="4" s="1"/>
  <c r="H8" i="4"/>
  <c r="G44" i="4"/>
  <c r="H5" i="4"/>
  <c r="I5" i="4" s="1"/>
  <c r="H10" i="4"/>
  <c r="I10" i="4" s="1"/>
  <c r="G7" i="4"/>
  <c r="G45" i="2"/>
  <c r="H18" i="4"/>
  <c r="H29" i="4"/>
  <c r="I29" i="4" s="1"/>
  <c r="H14" i="4"/>
  <c r="G44" i="2"/>
  <c r="P26" i="2"/>
  <c r="I43" i="2"/>
  <c r="G43" i="2" s="1"/>
  <c r="M26" i="2"/>
  <c r="Q26" i="2" s="1"/>
  <c r="I26" i="4"/>
  <c r="I24" i="4"/>
  <c r="I28" i="4"/>
  <c r="I23" i="4"/>
  <c r="I19" i="4"/>
  <c r="I37" i="2"/>
  <c r="I25" i="2"/>
  <c r="H32" i="2"/>
  <c r="I36" i="2"/>
  <c r="I35" i="2"/>
  <c r="I22" i="2"/>
  <c r="I34" i="2"/>
  <c r="I18" i="2"/>
  <c r="AR26" i="2"/>
  <c r="AQ26" i="2"/>
  <c r="H46" i="4"/>
  <c r="AR25" i="2"/>
  <c r="M24" i="2"/>
  <c r="Q24" i="2" s="1"/>
  <c r="P27" i="2"/>
  <c r="N59" i="1"/>
  <c r="AD47" i="1"/>
  <c r="AD51" i="1"/>
  <c r="AD54" i="1"/>
  <c r="M22" i="2"/>
  <c r="Q22" i="2" s="1"/>
  <c r="AD48" i="1"/>
  <c r="AD63" i="1"/>
  <c r="AD60" i="1"/>
  <c r="AD55" i="1"/>
  <c r="M25" i="2"/>
  <c r="Q25" i="2" s="1"/>
  <c r="AD61" i="1"/>
  <c r="AD62" i="1"/>
  <c r="AD49" i="1"/>
  <c r="AD56" i="1"/>
  <c r="M27" i="2"/>
  <c r="Q27" i="2" s="1"/>
  <c r="AD52" i="1"/>
  <c r="AD53" i="1"/>
  <c r="AK24" i="2"/>
  <c r="AL24" i="2" s="1"/>
  <c r="AT24" i="2" s="1"/>
  <c r="N57" i="1"/>
  <c r="N63" i="1"/>
  <c r="N52" i="1"/>
  <c r="AD50" i="1"/>
  <c r="M23" i="2"/>
  <c r="Q23" i="2" s="1"/>
  <c r="N62" i="1"/>
  <c r="N58" i="1"/>
  <c r="AK25" i="2"/>
  <c r="AL25" i="2" s="1"/>
  <c r="AT25" i="2" s="1"/>
  <c r="AQ25" i="2"/>
  <c r="AR21" i="2"/>
  <c r="AQ5" i="2"/>
  <c r="AR23" i="2"/>
  <c r="AR22" i="2"/>
  <c r="AQ19" i="2"/>
  <c r="AQ20" i="2"/>
  <c r="AQ4" i="2"/>
  <c r="P22" i="2"/>
  <c r="AQ18" i="2"/>
  <c r="AQ17" i="2"/>
  <c r="AQ15" i="2"/>
  <c r="AQ14" i="2"/>
  <c r="AT23" i="2"/>
  <c r="AQ13" i="2"/>
  <c r="AQ11" i="2"/>
  <c r="AQ10" i="2"/>
  <c r="AQ3" i="2"/>
  <c r="AR24" i="2"/>
  <c r="AQ24" i="2"/>
  <c r="AQ23" i="2"/>
  <c r="AQ22" i="2"/>
  <c r="AC29" i="2"/>
  <c r="AQ21" i="2"/>
  <c r="P16" i="2"/>
  <c r="AS23" i="2"/>
  <c r="P9" i="2"/>
  <c r="AC5" i="2"/>
  <c r="P23" i="2"/>
  <c r="P20" i="2"/>
  <c r="P4" i="2"/>
  <c r="AC23" i="2"/>
  <c r="P11" i="2"/>
  <c r="P13" i="2"/>
  <c r="P25" i="2"/>
  <c r="P24" i="2"/>
  <c r="P21" i="2"/>
  <c r="P5" i="2"/>
  <c r="P17" i="2"/>
  <c r="P12" i="2"/>
  <c r="P10" i="2"/>
  <c r="AC4" i="2"/>
  <c r="P18" i="2"/>
  <c r="AC24" i="2"/>
  <c r="P14" i="2"/>
  <c r="AC22" i="2"/>
  <c r="AC3" i="2"/>
  <c r="AC21" i="2"/>
  <c r="AC19" i="2"/>
  <c r="P8" i="2"/>
  <c r="AC8" i="2"/>
  <c r="P7" i="2"/>
  <c r="AC7" i="2"/>
  <c r="P19" i="2"/>
  <c r="AC6" i="2"/>
  <c r="P15" i="2"/>
  <c r="I10" i="2"/>
  <c r="I21" i="2"/>
  <c r="I7" i="2"/>
  <c r="H34" i="2"/>
  <c r="I28" i="2"/>
  <c r="H13" i="4"/>
  <c r="I13" i="4" s="1"/>
  <c r="H3" i="2"/>
  <c r="I11" i="2"/>
  <c r="I40" i="2"/>
  <c r="I8" i="2"/>
  <c r="I3" i="2"/>
  <c r="H17" i="4"/>
  <c r="I19" i="2"/>
  <c r="I12" i="2"/>
  <c r="I41" i="2"/>
  <c r="H41" i="2"/>
  <c r="G43" i="4"/>
  <c r="I43" i="4" s="1"/>
  <c r="H40" i="2"/>
  <c r="I39" i="2"/>
  <c r="H39" i="2"/>
  <c r="I38" i="2"/>
  <c r="H35" i="2"/>
  <c r="H38" i="2"/>
  <c r="H33" i="2"/>
  <c r="H37" i="2"/>
  <c r="I6" i="2"/>
  <c r="H37" i="4"/>
  <c r="H36" i="2"/>
  <c r="G17" i="4"/>
  <c r="I21" i="4"/>
  <c r="G34" i="4"/>
  <c r="I34" i="4" s="1"/>
  <c r="G3" i="4"/>
  <c r="G33" i="4"/>
  <c r="G30" i="4"/>
  <c r="G49" i="4"/>
  <c r="G35" i="4"/>
  <c r="I35" i="4" s="1"/>
  <c r="I44" i="4"/>
  <c r="I4" i="2"/>
  <c r="I9" i="2"/>
  <c r="H6" i="4"/>
  <c r="H36" i="4"/>
  <c r="I36" i="4" s="1"/>
  <c r="H9" i="4"/>
  <c r="H2" i="4"/>
  <c r="H30" i="4"/>
  <c r="I45" i="4"/>
  <c r="H33" i="4"/>
  <c r="H11" i="4"/>
  <c r="H40" i="4"/>
  <c r="I40" i="4" s="1"/>
  <c r="I32" i="2"/>
  <c r="H4" i="4"/>
  <c r="I4" i="4" s="1"/>
  <c r="H38" i="4"/>
  <c r="I38" i="4" s="1"/>
  <c r="H47" i="4"/>
  <c r="H12" i="4"/>
  <c r="I12" i="4" s="1"/>
  <c r="H7" i="4"/>
  <c r="I7" i="4" s="1"/>
  <c r="I17" i="2"/>
  <c r="I33" i="2"/>
  <c r="H22" i="4"/>
  <c r="I22" i="4" s="1"/>
  <c r="I30" i="2"/>
  <c r="H15" i="4"/>
  <c r="H39" i="4"/>
  <c r="I15" i="2"/>
  <c r="I29" i="2"/>
  <c r="H27" i="4"/>
  <c r="I27" i="4" s="1"/>
  <c r="AN19" i="2"/>
  <c r="AN3" i="2"/>
  <c r="AN9" i="2"/>
  <c r="AN16" i="2"/>
  <c r="AN13" i="2"/>
  <c r="AP3" i="2"/>
  <c r="AP9" i="2"/>
  <c r="AP19" i="2"/>
  <c r="AP16" i="2"/>
  <c r="AP13" i="2"/>
  <c r="N47" i="1"/>
  <c r="H29" i="2"/>
  <c r="M14" i="2"/>
  <c r="Q14" i="2" s="1"/>
  <c r="Z8" i="2"/>
  <c r="AD8" i="2" s="1"/>
  <c r="AK13" i="2"/>
  <c r="AS13" i="2" s="1"/>
  <c r="M13" i="2"/>
  <c r="Q13" i="2" s="1"/>
  <c r="Z7" i="2"/>
  <c r="AD7" i="2" s="1"/>
  <c r="M12" i="2"/>
  <c r="Q12" i="2" s="1"/>
  <c r="Z6" i="2"/>
  <c r="AD6" i="2" s="1"/>
  <c r="AK11" i="2"/>
  <c r="AS11" i="2" s="1"/>
  <c r="M11" i="2"/>
  <c r="Q11" i="2" s="1"/>
  <c r="Z24" i="2"/>
  <c r="AD24" i="2" s="1"/>
  <c r="Z5" i="2"/>
  <c r="AD5" i="2" s="1"/>
  <c r="AK10" i="2"/>
  <c r="AS10" i="2" s="1"/>
  <c r="B21" i="4"/>
  <c r="M10" i="2"/>
  <c r="Q10" i="2" s="1"/>
  <c r="Z23" i="2"/>
  <c r="AD23" i="2" s="1"/>
  <c r="Z4" i="2"/>
  <c r="AD4" i="2" s="1"/>
  <c r="B11" i="4"/>
  <c r="B41" i="4"/>
  <c r="M9" i="2"/>
  <c r="Q9" i="2" s="1"/>
  <c r="Z22" i="2"/>
  <c r="AD22" i="2" s="1"/>
  <c r="AK3" i="2"/>
  <c r="AS3" i="2" s="1"/>
  <c r="M8" i="2"/>
  <c r="Q8" i="2" s="1"/>
  <c r="Z21" i="2"/>
  <c r="AD21" i="2" s="1"/>
  <c r="M7" i="2"/>
  <c r="Q7" i="2" s="1"/>
  <c r="AK22" i="2"/>
  <c r="AL22" i="2" s="1"/>
  <c r="AT22" i="2" s="1"/>
  <c r="Z19" i="2"/>
  <c r="AD19" i="2" s="1"/>
  <c r="AK21" i="2"/>
  <c r="AL21" i="2" s="1"/>
  <c r="AT21" i="2" s="1"/>
  <c r="AK5" i="2"/>
  <c r="AS5" i="2" s="1"/>
  <c r="M21" i="2"/>
  <c r="Q21" i="2" s="1"/>
  <c r="M5" i="2"/>
  <c r="Q5" i="2" s="1"/>
  <c r="AK20" i="2"/>
  <c r="AS20" i="2" s="1"/>
  <c r="AK4" i="2"/>
  <c r="AS4" i="2" s="1"/>
  <c r="B44" i="4"/>
  <c r="B6" i="4"/>
  <c r="M20" i="2"/>
  <c r="Q20" i="2" s="1"/>
  <c r="M4" i="2"/>
  <c r="Q4" i="2" s="1"/>
  <c r="Z3" i="2"/>
  <c r="AD3" i="2" s="1"/>
  <c r="AK19" i="2"/>
  <c r="AS19" i="2" s="1"/>
  <c r="B16" i="4"/>
  <c r="M19" i="2"/>
  <c r="Q19" i="2" s="1"/>
  <c r="M18" i="2"/>
  <c r="Q18" i="2" s="1"/>
  <c r="AK17" i="2"/>
  <c r="B42" i="4"/>
  <c r="B34" i="4"/>
  <c r="M17" i="2"/>
  <c r="Q17" i="2" s="1"/>
  <c r="M16" i="2"/>
  <c r="Q16" i="2" s="1"/>
  <c r="Z29" i="2"/>
  <c r="AD29" i="2" s="1"/>
  <c r="AK15" i="2"/>
  <c r="AS15" i="2" s="1"/>
  <c r="B36" i="4"/>
  <c r="M15" i="2"/>
  <c r="Q15" i="2" s="1"/>
  <c r="AK14" i="2"/>
  <c r="AS14" i="2" s="1"/>
  <c r="B2" i="4"/>
  <c r="B3" i="4"/>
  <c r="B13" i="4"/>
  <c r="B17" i="4"/>
  <c r="B33" i="4"/>
  <c r="B27" i="4"/>
  <c r="B45" i="4"/>
  <c r="B47" i="4"/>
  <c r="B39" i="4"/>
  <c r="B40" i="4"/>
  <c r="B38" i="4"/>
  <c r="B5" i="4"/>
  <c r="B4" i="4"/>
  <c r="B22" i="4"/>
  <c r="B9" i="4"/>
  <c r="B30" i="4"/>
  <c r="B7" i="4"/>
  <c r="I16" i="2"/>
  <c r="AJ16" i="2"/>
  <c r="I31" i="2"/>
  <c r="I14" i="2"/>
  <c r="I13" i="2"/>
  <c r="I27" i="2"/>
  <c r="I26" i="2"/>
  <c r="I24" i="2"/>
  <c r="I23" i="2"/>
  <c r="I5" i="2"/>
  <c r="H30" i="2"/>
  <c r="I20" i="2"/>
  <c r="H17" i="2"/>
  <c r="H7" i="2"/>
  <c r="AJ9" i="2"/>
  <c r="AJ19" i="2"/>
  <c r="AJ3" i="2"/>
  <c r="AJ13" i="2"/>
  <c r="H22" i="2"/>
  <c r="H21" i="2"/>
  <c r="H5" i="2"/>
  <c r="AD7" i="1"/>
  <c r="AD44" i="1"/>
  <c r="AD45" i="1"/>
  <c r="AD6" i="1"/>
  <c r="AD43" i="1"/>
  <c r="H18" i="2"/>
  <c r="AD38" i="1"/>
  <c r="AD5" i="1"/>
  <c r="AD3" i="1"/>
  <c r="AD15" i="1"/>
  <c r="H20" i="2"/>
  <c r="H6" i="2"/>
  <c r="H4" i="2"/>
  <c r="H13" i="2"/>
  <c r="N5" i="1"/>
  <c r="AD22" i="1"/>
  <c r="AD37" i="1"/>
  <c r="AD21" i="1"/>
  <c r="AD36" i="1"/>
  <c r="AD20" i="1"/>
  <c r="AD35" i="1"/>
  <c r="AD19" i="1"/>
  <c r="AD34" i="1"/>
  <c r="AD18" i="1"/>
  <c r="AD17" i="1"/>
  <c r="H16" i="2"/>
  <c r="AD32" i="1"/>
  <c r="AD16" i="1"/>
  <c r="AD31" i="1"/>
  <c r="AD14" i="1"/>
  <c r="H15" i="2"/>
  <c r="H14" i="2"/>
  <c r="AD30" i="1"/>
  <c r="AD13" i="1"/>
  <c r="AD29" i="1"/>
  <c r="AD12" i="1"/>
  <c r="AD28" i="1"/>
  <c r="AD11" i="1"/>
  <c r="AD27" i="1"/>
  <c r="AD10" i="1"/>
  <c r="AD26" i="1"/>
  <c r="AD9" i="1"/>
  <c r="H9" i="2"/>
  <c r="AD41" i="1"/>
  <c r="AD25" i="1"/>
  <c r="AD40" i="1"/>
  <c r="AD24" i="1"/>
  <c r="AD4" i="1"/>
  <c r="AD39" i="1"/>
  <c r="AD23" i="1"/>
  <c r="AD8" i="1"/>
  <c r="AD42" i="1"/>
  <c r="H19" i="2"/>
  <c r="H31" i="2"/>
  <c r="H28" i="2"/>
  <c r="H27" i="2"/>
  <c r="H26" i="2"/>
  <c r="H25" i="2"/>
  <c r="H24" i="2"/>
  <c r="H12" i="2"/>
  <c r="H11" i="2"/>
  <c r="H10" i="2"/>
  <c r="H8" i="2"/>
  <c r="H23" i="2"/>
  <c r="G25" i="2" l="1"/>
  <c r="I15" i="4"/>
  <c r="I46" i="4"/>
  <c r="AL16" i="2"/>
  <c r="I9" i="4"/>
  <c r="I37" i="4"/>
  <c r="I6" i="4"/>
  <c r="I14" i="4"/>
  <c r="G32" i="2"/>
  <c r="G8" i="2"/>
  <c r="I47" i="4"/>
  <c r="G34" i="2"/>
  <c r="I3" i="4"/>
  <c r="I8" i="4"/>
  <c r="G18" i="2"/>
  <c r="I39" i="4"/>
  <c r="I18" i="4"/>
  <c r="AS26" i="2"/>
  <c r="G37" i="2"/>
  <c r="I49" i="4"/>
  <c r="I11" i="4"/>
  <c r="I2" i="4"/>
  <c r="G36" i="2"/>
  <c r="G22" i="2"/>
  <c r="G35" i="2"/>
  <c r="G7" i="2"/>
  <c r="AS25" i="2"/>
  <c r="AS24" i="2"/>
  <c r="AR9" i="2"/>
  <c r="G21" i="2"/>
  <c r="G19" i="2"/>
  <c r="G10" i="2"/>
  <c r="G28" i="2"/>
  <c r="AR3" i="2"/>
  <c r="AS17" i="2"/>
  <c r="AR13" i="2"/>
  <c r="AR16" i="2"/>
  <c r="AR19" i="2"/>
  <c r="AS21" i="2"/>
  <c r="G33" i="2"/>
  <c r="AS22" i="2"/>
  <c r="AT16" i="2"/>
  <c r="G12" i="2"/>
  <c r="G6" i="2"/>
  <c r="G3" i="2"/>
  <c r="G40" i="2"/>
  <c r="I17" i="4"/>
  <c r="G11" i="2"/>
  <c r="G41" i="2"/>
  <c r="G38" i="2"/>
  <c r="G39" i="2"/>
  <c r="I30" i="4"/>
  <c r="G9" i="2"/>
  <c r="G4" i="2"/>
  <c r="I33" i="4"/>
  <c r="G17" i="2"/>
  <c r="G30" i="2"/>
  <c r="G29" i="2"/>
  <c r="G15" i="2"/>
  <c r="B35" i="4"/>
  <c r="AL9" i="2"/>
  <c r="AT9" i="2" s="1"/>
  <c r="AL19" i="2"/>
  <c r="AT19" i="2" s="1"/>
  <c r="G23" i="2"/>
  <c r="G5" i="2"/>
  <c r="B43" i="4"/>
  <c r="G24" i="2"/>
  <c r="AL13" i="2"/>
  <c r="AT13" i="2" s="1"/>
  <c r="B32" i="4"/>
  <c r="G14" i="2"/>
  <c r="B15" i="4"/>
  <c r="B10" i="4"/>
  <c r="AL3" i="2"/>
  <c r="AT3" i="2" s="1"/>
  <c r="G26" i="2"/>
  <c r="G31" i="2"/>
  <c r="G13" i="2"/>
  <c r="G16" i="2"/>
  <c r="G20" i="2"/>
  <c r="G27" i="2"/>
  <c r="AD46" i="1"/>
  <c r="K2" i="1"/>
  <c r="L2" i="1"/>
  <c r="AD33" i="1"/>
  <c r="Q2" i="1"/>
  <c r="R2" i="1" s="1"/>
  <c r="N2" i="1" l="1"/>
  <c r="M2" i="1"/>
  <c r="U33" i="2"/>
  <c r="U17" i="2"/>
  <c r="U36" i="2"/>
  <c r="U15" i="2"/>
  <c r="U30" i="2"/>
  <c r="U14" i="2"/>
  <c r="U13" i="2"/>
  <c r="U28" i="2"/>
  <c r="U12" i="2"/>
  <c r="U11" i="2"/>
  <c r="U32" i="2"/>
  <c r="U29" i="2"/>
  <c r="U10" i="2"/>
  <c r="U16" i="2"/>
  <c r="U27" i="2"/>
  <c r="U25" i="2"/>
  <c r="U9" i="2"/>
  <c r="U34" i="2"/>
  <c r="U31" i="2"/>
  <c r="U26" i="2"/>
  <c r="U24" i="2"/>
  <c r="U8" i="2"/>
  <c r="U18" i="2"/>
  <c r="U3" i="2"/>
  <c r="U23" i="2"/>
  <c r="U7" i="2"/>
  <c r="U19" i="2"/>
  <c r="U38" i="2"/>
  <c r="U22" i="2"/>
  <c r="U6" i="2"/>
  <c r="U35" i="2"/>
  <c r="U37" i="2"/>
  <c r="U21" i="2"/>
  <c r="U5" i="2"/>
  <c r="U20" i="2"/>
  <c r="J1" i="9" a="1"/>
  <c r="J1" i="9" s="1"/>
  <c r="U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杨铮</author>
  </authors>
  <commentList>
    <comment ref="I45" authorId="0" shapeId="0" xr:uid="{61A80022-755F-4037-83DC-985B94B2A0AF}">
      <text>
        <r>
          <rPr>
            <b/>
            <sz val="9"/>
            <color indexed="81"/>
            <rFont val="宋体"/>
            <family val="3"/>
            <charset val="134"/>
          </rPr>
          <t>杨铮:</t>
        </r>
        <r>
          <rPr>
            <sz val="9"/>
            <color indexed="81"/>
            <rFont val="宋体"/>
            <family val="3"/>
            <charset val="134"/>
          </rPr>
          <t xml:space="preserve">
一等软座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<sst xmlns="http://schemas.openxmlformats.org/spreadsheetml/2006/main" count="3132" uniqueCount="872">
  <si>
    <t>日期</t>
    <phoneticPr fontId="1" type="noConversion"/>
  </si>
  <si>
    <t>出发地</t>
    <phoneticPr fontId="1" type="noConversion"/>
  </si>
  <si>
    <t>目的地</t>
    <phoneticPr fontId="1" type="noConversion"/>
  </si>
  <si>
    <t>车次</t>
    <phoneticPr fontId="1" type="noConversion"/>
  </si>
  <si>
    <t>东莞</t>
  </si>
  <si>
    <t>东莞</t>
    <phoneticPr fontId="1" type="noConversion"/>
  </si>
  <si>
    <t>厦门</t>
  </si>
  <si>
    <t>厦门</t>
    <phoneticPr fontId="1" type="noConversion"/>
  </si>
  <si>
    <t>座位号</t>
    <phoneticPr fontId="1" type="noConversion"/>
  </si>
  <si>
    <t>D2385</t>
    <phoneticPr fontId="1" type="noConversion"/>
  </si>
  <si>
    <t>厦门北</t>
  </si>
  <si>
    <t>厦门北</t>
    <phoneticPr fontId="1" type="noConversion"/>
  </si>
  <si>
    <t>D</t>
    <phoneticPr fontId="1" type="noConversion"/>
  </si>
  <si>
    <t>出发时间</t>
    <phoneticPr fontId="1" type="noConversion"/>
  </si>
  <si>
    <t>D7150</t>
    <phoneticPr fontId="1" type="noConversion"/>
  </si>
  <si>
    <t>深圳北</t>
  </si>
  <si>
    <t>深圳北</t>
    <phoneticPr fontId="1" type="noConversion"/>
  </si>
  <si>
    <t>价格</t>
    <phoneticPr fontId="1" type="noConversion"/>
  </si>
  <si>
    <t>D7149</t>
    <phoneticPr fontId="1" type="noConversion"/>
  </si>
  <si>
    <t>D3656</t>
    <phoneticPr fontId="1" type="noConversion"/>
  </si>
  <si>
    <t>D3309</t>
    <phoneticPr fontId="1" type="noConversion"/>
  </si>
  <si>
    <t>D7122</t>
    <phoneticPr fontId="1" type="noConversion"/>
  </si>
  <si>
    <t>D7146</t>
    <phoneticPr fontId="1" type="noConversion"/>
  </si>
  <si>
    <t>无锡新区</t>
  </si>
  <si>
    <t>无锡新区</t>
    <phoneticPr fontId="1" type="noConversion"/>
  </si>
  <si>
    <t>苏州</t>
  </si>
  <si>
    <t>苏州</t>
    <phoneticPr fontId="1" type="noConversion"/>
  </si>
  <si>
    <t>G7229</t>
    <phoneticPr fontId="1" type="noConversion"/>
  </si>
  <si>
    <t>长沙南</t>
  </si>
  <si>
    <t>长沙南</t>
    <phoneticPr fontId="1" type="noConversion"/>
  </si>
  <si>
    <t>G829</t>
    <phoneticPr fontId="1" type="noConversion"/>
  </si>
  <si>
    <t>G6004</t>
    <phoneticPr fontId="1" type="noConversion"/>
  </si>
  <si>
    <t>阳澄湖</t>
  </si>
  <si>
    <t>阳澄湖</t>
    <phoneticPr fontId="1" type="noConversion"/>
  </si>
  <si>
    <t>D5665</t>
    <phoneticPr fontId="1" type="noConversion"/>
  </si>
  <si>
    <t>无锡</t>
  </si>
  <si>
    <t>无锡</t>
    <phoneticPr fontId="1" type="noConversion"/>
  </si>
  <si>
    <t>南京</t>
  </si>
  <si>
    <t>南京</t>
    <phoneticPr fontId="1" type="noConversion"/>
  </si>
  <si>
    <t>广州</t>
  </si>
  <si>
    <t>广州</t>
    <phoneticPr fontId="1" type="noConversion"/>
  </si>
  <si>
    <t>C7080</t>
    <phoneticPr fontId="1" type="noConversion"/>
  </si>
  <si>
    <t>阳春</t>
  </si>
  <si>
    <t>阳春</t>
    <phoneticPr fontId="1" type="noConversion"/>
  </si>
  <si>
    <t>K837</t>
    <phoneticPr fontId="1" type="noConversion"/>
  </si>
  <si>
    <t>D7178</t>
    <phoneticPr fontId="1" type="noConversion"/>
  </si>
  <si>
    <t>D7166</t>
    <phoneticPr fontId="1" type="noConversion"/>
  </si>
  <si>
    <t>阳江</t>
  </si>
  <si>
    <t>阳江</t>
    <phoneticPr fontId="1" type="noConversion"/>
  </si>
  <si>
    <t>江门</t>
  </si>
  <si>
    <t>江门</t>
    <phoneticPr fontId="1" type="noConversion"/>
  </si>
  <si>
    <t>G6086</t>
    <phoneticPr fontId="1" type="noConversion"/>
  </si>
  <si>
    <t>-</t>
    <phoneticPr fontId="1" type="noConversion"/>
  </si>
  <si>
    <t>无座</t>
    <phoneticPr fontId="1" type="noConversion"/>
  </si>
  <si>
    <t>D2321</t>
    <phoneticPr fontId="1" type="noConversion"/>
  </si>
  <si>
    <t>G6558</t>
    <phoneticPr fontId="1" type="noConversion"/>
  </si>
  <si>
    <t>G6547</t>
    <phoneticPr fontId="1" type="noConversion"/>
  </si>
  <si>
    <t>虎门</t>
  </si>
  <si>
    <t>虎门</t>
    <phoneticPr fontId="1" type="noConversion"/>
  </si>
  <si>
    <t>G1624</t>
    <phoneticPr fontId="1" type="noConversion"/>
  </si>
  <si>
    <t>茂名</t>
  </si>
  <si>
    <t>茂名</t>
    <phoneticPr fontId="1" type="noConversion"/>
  </si>
  <si>
    <t>T8307</t>
    <phoneticPr fontId="1" type="noConversion"/>
  </si>
  <si>
    <t>恩平</t>
  </si>
  <si>
    <t>恩平</t>
    <phoneticPr fontId="1" type="noConversion"/>
  </si>
  <si>
    <t>C6926</t>
    <phoneticPr fontId="1" type="noConversion"/>
  </si>
  <si>
    <t>广州南</t>
  </si>
  <si>
    <t>广州南</t>
    <phoneticPr fontId="1" type="noConversion"/>
  </si>
  <si>
    <t>C7003</t>
    <phoneticPr fontId="1" type="noConversion"/>
  </si>
  <si>
    <t>亚布力西</t>
  </si>
  <si>
    <t>亚布力西</t>
    <phoneticPr fontId="1" type="noConversion"/>
  </si>
  <si>
    <t>哈尔滨</t>
  </si>
  <si>
    <t>哈尔滨</t>
    <phoneticPr fontId="1" type="noConversion"/>
  </si>
  <si>
    <t>D7976</t>
    <phoneticPr fontId="1" type="noConversion"/>
  </si>
  <si>
    <t>齐齐哈尔</t>
  </si>
  <si>
    <t>齐齐哈尔</t>
    <phoneticPr fontId="1" type="noConversion"/>
  </si>
  <si>
    <t>D7981</t>
    <phoneticPr fontId="1" type="noConversion"/>
  </si>
  <si>
    <t>加格达奇</t>
  </si>
  <si>
    <t>加格达奇</t>
    <phoneticPr fontId="1" type="noConversion"/>
  </si>
  <si>
    <t>K7039</t>
    <phoneticPr fontId="1" type="noConversion"/>
  </si>
  <si>
    <t>漠河</t>
  </si>
  <si>
    <t>漠河</t>
    <phoneticPr fontId="1" type="noConversion"/>
  </si>
  <si>
    <t>软卧</t>
    <phoneticPr fontId="1" type="noConversion"/>
  </si>
  <si>
    <t>满归</t>
  </si>
  <si>
    <t>满归</t>
    <phoneticPr fontId="1" type="noConversion"/>
  </si>
  <si>
    <t>根河</t>
  </si>
  <si>
    <t>根河</t>
    <phoneticPr fontId="1" type="noConversion"/>
  </si>
  <si>
    <t>海拉尔</t>
  </si>
  <si>
    <t>海拉尔</t>
    <phoneticPr fontId="1" type="noConversion"/>
  </si>
  <si>
    <t>满洲里</t>
  </si>
  <si>
    <t>满洲里</t>
    <phoneticPr fontId="1" type="noConversion"/>
  </si>
  <si>
    <t>D3122</t>
    <phoneticPr fontId="1" type="noConversion"/>
  </si>
  <si>
    <t>大理</t>
  </si>
  <si>
    <t>大理</t>
    <phoneticPr fontId="1" type="noConversion"/>
  </si>
  <si>
    <t>昆明</t>
  </si>
  <si>
    <t>昆明</t>
    <phoneticPr fontId="1" type="noConversion"/>
  </si>
  <si>
    <t>08车09B</t>
    <phoneticPr fontId="1" type="noConversion"/>
  </si>
  <si>
    <t>08车11F</t>
    <phoneticPr fontId="1" type="noConversion"/>
  </si>
  <si>
    <t>07车03F</t>
    <phoneticPr fontId="1" type="noConversion"/>
  </si>
  <si>
    <t>08车04C</t>
    <phoneticPr fontId="1" type="noConversion"/>
  </si>
  <si>
    <t>15车03A</t>
    <phoneticPr fontId="1" type="noConversion"/>
  </si>
  <si>
    <t>07车13A</t>
    <phoneticPr fontId="1" type="noConversion"/>
  </si>
  <si>
    <t>06车19F</t>
    <phoneticPr fontId="1" type="noConversion"/>
  </si>
  <si>
    <t>07车12F</t>
    <phoneticPr fontId="1" type="noConversion"/>
  </si>
  <si>
    <t>15车03F</t>
    <phoneticPr fontId="1" type="noConversion"/>
  </si>
  <si>
    <t>04车09A</t>
    <phoneticPr fontId="1" type="noConversion"/>
  </si>
  <si>
    <t>06车02D</t>
    <phoneticPr fontId="1" type="noConversion"/>
  </si>
  <si>
    <t>08车06F</t>
    <phoneticPr fontId="1" type="noConversion"/>
  </si>
  <si>
    <t>06车03B</t>
    <phoneticPr fontId="1" type="noConversion"/>
  </si>
  <si>
    <t>03车07A</t>
    <phoneticPr fontId="1" type="noConversion"/>
  </si>
  <si>
    <t>06车15C</t>
    <phoneticPr fontId="1" type="noConversion"/>
  </si>
  <si>
    <t>03车11F</t>
    <phoneticPr fontId="1" type="noConversion"/>
  </si>
  <si>
    <t>06车10F</t>
    <phoneticPr fontId="1" type="noConversion"/>
  </si>
  <si>
    <t>06车05B</t>
    <phoneticPr fontId="1" type="noConversion"/>
  </si>
  <si>
    <t>坐席</t>
    <phoneticPr fontId="1" type="noConversion"/>
  </si>
  <si>
    <t>二等</t>
    <phoneticPr fontId="1" type="noConversion"/>
  </si>
  <si>
    <t>硬卧</t>
    <phoneticPr fontId="1" type="noConversion"/>
  </si>
  <si>
    <t>12车12中</t>
    <phoneticPr fontId="1" type="noConversion"/>
  </si>
  <si>
    <t>硬座</t>
    <phoneticPr fontId="1" type="noConversion"/>
  </si>
  <si>
    <t>03车021</t>
    <phoneticPr fontId="1" type="noConversion"/>
  </si>
  <si>
    <t>07车08F</t>
    <phoneticPr fontId="1" type="noConversion"/>
  </si>
  <si>
    <t>06车02F</t>
    <phoneticPr fontId="1" type="noConversion"/>
  </si>
  <si>
    <t>05车09F</t>
    <phoneticPr fontId="1" type="noConversion"/>
  </si>
  <si>
    <t>01车044</t>
    <phoneticPr fontId="1" type="noConversion"/>
  </si>
  <si>
    <t>加1车04上</t>
    <phoneticPr fontId="1" type="noConversion"/>
  </si>
  <si>
    <t>车型</t>
    <phoneticPr fontId="1" type="noConversion"/>
  </si>
  <si>
    <t>车底</t>
    <phoneticPr fontId="1" type="noConversion"/>
  </si>
  <si>
    <t>动车</t>
    <phoneticPr fontId="1" type="noConversion"/>
  </si>
  <si>
    <t>高铁</t>
    <phoneticPr fontId="1" type="noConversion"/>
  </si>
  <si>
    <t>城际</t>
    <phoneticPr fontId="1" type="noConversion"/>
  </si>
  <si>
    <t>快速</t>
    <phoneticPr fontId="1" type="noConversion"/>
  </si>
  <si>
    <t>特快</t>
    <phoneticPr fontId="1" type="noConversion"/>
  </si>
  <si>
    <t>普客</t>
    <phoneticPr fontId="1" type="noConversion"/>
  </si>
  <si>
    <t>06车001</t>
    <phoneticPr fontId="1" type="noConversion"/>
  </si>
  <si>
    <t>01车059</t>
    <phoneticPr fontId="1" type="noConversion"/>
  </si>
  <si>
    <t>01车08F</t>
    <phoneticPr fontId="1" type="noConversion"/>
  </si>
  <si>
    <t>到站时间</t>
    <phoneticPr fontId="1" type="noConversion"/>
  </si>
  <si>
    <t>CRH1A</t>
    <phoneticPr fontId="1" type="noConversion"/>
  </si>
  <si>
    <t>25K</t>
    <phoneticPr fontId="1" type="noConversion"/>
  </si>
  <si>
    <t>AC380V</t>
    <phoneticPr fontId="1" type="noConversion"/>
  </si>
  <si>
    <t>双管供风</t>
    <phoneticPr fontId="1" type="noConversion"/>
  </si>
  <si>
    <t>集便</t>
    <phoneticPr fontId="1" type="noConversion"/>
  </si>
  <si>
    <t>茂名调向</t>
    <phoneticPr fontId="1" type="noConversion"/>
  </si>
  <si>
    <t>CR400AF-A</t>
    <phoneticPr fontId="1" type="noConversion"/>
  </si>
  <si>
    <t>CR300AF</t>
    <phoneticPr fontId="1" type="noConversion"/>
  </si>
  <si>
    <t>CRH2A</t>
    <phoneticPr fontId="1" type="noConversion"/>
  </si>
  <si>
    <t>重联</t>
    <phoneticPr fontId="1" type="noConversion"/>
  </si>
  <si>
    <t>CRH1A-A</t>
    <phoneticPr fontId="1" type="noConversion"/>
  </si>
  <si>
    <t>CRH380B</t>
    <phoneticPr fontId="1" type="noConversion"/>
  </si>
  <si>
    <t>25G</t>
    <phoneticPr fontId="1" type="noConversion"/>
  </si>
  <si>
    <t>CRH380BL</t>
    <phoneticPr fontId="1" type="noConversion"/>
  </si>
  <si>
    <t>广州南调向</t>
    <phoneticPr fontId="1" type="noConversion"/>
  </si>
  <si>
    <t>G7026</t>
    <phoneticPr fontId="1" type="noConversion"/>
  </si>
  <si>
    <t>CRH2C</t>
    <phoneticPr fontId="1" type="noConversion"/>
  </si>
  <si>
    <t>CRH1B</t>
    <phoneticPr fontId="1" type="noConversion"/>
  </si>
  <si>
    <t>二阶段</t>
    <phoneticPr fontId="1" type="noConversion"/>
  </si>
  <si>
    <t>04车</t>
    <phoneticPr fontId="1" type="noConversion"/>
  </si>
  <si>
    <t>CRH5A</t>
    <phoneticPr fontId="1" type="noConversion"/>
  </si>
  <si>
    <t>CRH1E</t>
    <phoneticPr fontId="1" type="noConversion"/>
  </si>
  <si>
    <t>单管供风</t>
    <phoneticPr fontId="1" type="noConversion"/>
  </si>
  <si>
    <t>直排</t>
    <phoneticPr fontId="1" type="noConversion"/>
  </si>
  <si>
    <t>哈尔滨掉向</t>
    <phoneticPr fontId="1" type="noConversion"/>
  </si>
  <si>
    <t>齐齐哈尔掉向</t>
    <phoneticPr fontId="1" type="noConversion"/>
  </si>
  <si>
    <t>里程</t>
    <phoneticPr fontId="1" type="noConversion"/>
  </si>
  <si>
    <t>上海局</t>
    <phoneticPr fontId="1" type="noConversion"/>
  </si>
  <si>
    <t>广州局</t>
    <phoneticPr fontId="1" type="noConversion"/>
  </si>
  <si>
    <t>哈尔滨局</t>
    <phoneticPr fontId="1" type="noConversion"/>
  </si>
  <si>
    <t>昆明局</t>
    <phoneticPr fontId="1" type="noConversion"/>
  </si>
  <si>
    <t>每公里单价</t>
    <phoneticPr fontId="1" type="noConversion"/>
  </si>
  <si>
    <t>时速</t>
    <phoneticPr fontId="1" type="noConversion"/>
  </si>
  <si>
    <t>时长</t>
    <phoneticPr fontId="1" type="noConversion"/>
  </si>
  <si>
    <t>起点</t>
    <phoneticPr fontId="1" type="noConversion"/>
  </si>
  <si>
    <t>起点大全</t>
    <phoneticPr fontId="1" type="noConversion"/>
  </si>
  <si>
    <t>终点大全</t>
    <phoneticPr fontId="1" type="noConversion"/>
  </si>
  <si>
    <t>终点</t>
    <phoneticPr fontId="1" type="noConversion"/>
  </si>
  <si>
    <t>总</t>
    <phoneticPr fontId="1" type="noConversion"/>
  </si>
  <si>
    <t>全部地点</t>
    <phoneticPr fontId="1" type="noConversion"/>
  </si>
  <si>
    <t>火车站</t>
    <phoneticPr fontId="1" type="noConversion"/>
  </si>
  <si>
    <t>总数(raw)</t>
    <phoneticPr fontId="1" type="noConversion"/>
  </si>
  <si>
    <t>出发</t>
    <phoneticPr fontId="1" type="noConversion"/>
  </si>
  <si>
    <t>终到</t>
    <phoneticPr fontId="1" type="noConversion"/>
  </si>
  <si>
    <t>中转</t>
    <phoneticPr fontId="1" type="noConversion"/>
  </si>
  <si>
    <t>出发(raw)</t>
    <phoneticPr fontId="1" type="noConversion"/>
  </si>
  <si>
    <t>终到(raw)</t>
    <phoneticPr fontId="1" type="noConversion"/>
  </si>
  <si>
    <t>途径</t>
    <phoneticPr fontId="1" type="noConversion"/>
  </si>
  <si>
    <t>坐席</t>
  </si>
  <si>
    <t>车型</t>
  </si>
  <si>
    <t>CRH1A-A</t>
  </si>
  <si>
    <t>CRH2A</t>
  </si>
  <si>
    <t>CRH2C</t>
  </si>
  <si>
    <t>CRH1B</t>
  </si>
  <si>
    <t>CRH380B</t>
  </si>
  <si>
    <t>CRH380BL</t>
  </si>
  <si>
    <t>CRH1A</t>
  </si>
  <si>
    <t>25G</t>
  </si>
  <si>
    <t>CR300AF</t>
  </si>
  <si>
    <t>CR400AF-A</t>
  </si>
  <si>
    <t>25K</t>
  </si>
  <si>
    <t>CRH5A</t>
  </si>
  <si>
    <t>CRH1E</t>
  </si>
  <si>
    <t>一等</t>
    <phoneticPr fontId="1" type="noConversion"/>
  </si>
  <si>
    <t>商务</t>
    <phoneticPr fontId="1" type="noConversion"/>
  </si>
  <si>
    <t>软座</t>
    <phoneticPr fontId="1" type="noConversion"/>
  </si>
  <si>
    <t>一等卧</t>
    <phoneticPr fontId="1" type="noConversion"/>
  </si>
  <si>
    <t>二等卧</t>
    <phoneticPr fontId="1" type="noConversion"/>
  </si>
  <si>
    <t>特等</t>
    <phoneticPr fontId="1" type="noConversion"/>
  </si>
  <si>
    <t>动卧</t>
    <phoneticPr fontId="1" type="noConversion"/>
  </si>
  <si>
    <t>直达</t>
    <phoneticPr fontId="1" type="noConversion"/>
  </si>
  <si>
    <t>旅游</t>
    <phoneticPr fontId="1" type="noConversion"/>
  </si>
  <si>
    <t>G</t>
    <phoneticPr fontId="1" type="noConversion"/>
  </si>
  <si>
    <t>C</t>
    <phoneticPr fontId="1" type="noConversion"/>
  </si>
  <si>
    <t>K</t>
    <phoneticPr fontId="1" type="noConversion"/>
  </si>
  <si>
    <t>T</t>
    <phoneticPr fontId="1" type="noConversion"/>
  </si>
  <si>
    <t>Z</t>
    <phoneticPr fontId="1" type="noConversion"/>
  </si>
  <si>
    <t>Y</t>
    <phoneticPr fontId="1" type="noConversion"/>
  </si>
  <si>
    <t>L</t>
    <phoneticPr fontId="1" type="noConversion"/>
  </si>
  <si>
    <t>临客</t>
    <phoneticPr fontId="1" type="noConversion"/>
  </si>
  <si>
    <t>高软</t>
    <phoneticPr fontId="1" type="noConversion"/>
  </si>
  <si>
    <t>D3653</t>
    <phoneticPr fontId="1" type="noConversion"/>
  </si>
  <si>
    <t>03车06D</t>
    <phoneticPr fontId="1" type="noConversion"/>
  </si>
  <si>
    <t>G7232</t>
    <phoneticPr fontId="1" type="noConversion"/>
  </si>
  <si>
    <t>01车08D</t>
    <phoneticPr fontId="1" type="noConversion"/>
  </si>
  <si>
    <t>08车09D</t>
    <phoneticPr fontId="1" type="noConversion"/>
  </si>
  <si>
    <t>CRH2C-2</t>
  </si>
  <si>
    <t>CRH2C-2</t>
    <phoneticPr fontId="1" type="noConversion"/>
  </si>
  <si>
    <t>D8732</t>
    <phoneticPr fontId="1" type="noConversion"/>
  </si>
  <si>
    <t>CRH2A</t>
    <phoneticPr fontId="1" type="noConversion"/>
  </si>
  <si>
    <t>CRH1A-A</t>
    <phoneticPr fontId="1" type="noConversion"/>
  </si>
  <si>
    <t>04车10F</t>
    <phoneticPr fontId="1" type="noConversion"/>
  </si>
  <si>
    <t>东莞</t>
    <phoneticPr fontId="1" type="noConversion"/>
  </si>
  <si>
    <t>东莞南</t>
    <phoneticPr fontId="1" type="noConversion"/>
  </si>
  <si>
    <t>D3309</t>
    <phoneticPr fontId="1" type="noConversion"/>
  </si>
  <si>
    <t>动车</t>
    <phoneticPr fontId="1" type="noConversion"/>
  </si>
  <si>
    <t>03车</t>
    <phoneticPr fontId="1" type="noConversion"/>
  </si>
  <si>
    <t>D7122</t>
    <phoneticPr fontId="1" type="noConversion"/>
  </si>
  <si>
    <t>深圳北</t>
    <phoneticPr fontId="1" type="noConversion"/>
  </si>
  <si>
    <t>08车13F</t>
    <phoneticPr fontId="1" type="noConversion"/>
  </si>
  <si>
    <t>D2304</t>
    <phoneticPr fontId="1" type="noConversion"/>
  </si>
  <si>
    <t>惠东南</t>
    <phoneticPr fontId="1" type="noConversion"/>
  </si>
  <si>
    <t>重联</t>
    <phoneticPr fontId="1" type="noConversion"/>
  </si>
  <si>
    <t>车次担当局</t>
    <phoneticPr fontId="1" type="noConversion"/>
  </si>
  <si>
    <t>备注</t>
    <phoneticPr fontId="1" type="noConversion"/>
  </si>
  <si>
    <t>跨</t>
    <phoneticPr fontId="1" type="noConversion"/>
  </si>
  <si>
    <t>S</t>
    <phoneticPr fontId="1" type="noConversion"/>
  </si>
  <si>
    <t>市郊</t>
    <phoneticPr fontId="1" type="noConversion"/>
  </si>
  <si>
    <t>南昌局</t>
    <phoneticPr fontId="1" type="noConversion"/>
  </si>
  <si>
    <t>福州段</t>
    <phoneticPr fontId="1" type="noConversion"/>
  </si>
  <si>
    <t>广九段</t>
    <phoneticPr fontId="1" type="noConversion"/>
  </si>
  <si>
    <t>南宁局</t>
    <phoneticPr fontId="1" type="noConversion"/>
  </si>
  <si>
    <t>南宁段</t>
    <phoneticPr fontId="1" type="noConversion"/>
  </si>
  <si>
    <t>广州局</t>
    <phoneticPr fontId="1" type="noConversion"/>
  </si>
  <si>
    <t>南京段</t>
    <phoneticPr fontId="1" type="noConversion"/>
  </si>
  <si>
    <t>上海局</t>
    <phoneticPr fontId="1" type="noConversion"/>
  </si>
  <si>
    <t>长沙段</t>
    <phoneticPr fontId="1" type="noConversion"/>
  </si>
  <si>
    <t>乘车</t>
    <phoneticPr fontId="1" type="noConversion"/>
  </si>
  <si>
    <t>次数</t>
    <phoneticPr fontId="1" type="noConversion"/>
  </si>
  <si>
    <t>序号</t>
    <phoneticPr fontId="1" type="noConversion"/>
  </si>
  <si>
    <t>成都局</t>
    <phoneticPr fontId="1" type="noConversion"/>
  </si>
  <si>
    <t>重庆段</t>
    <phoneticPr fontId="1" type="noConversion"/>
  </si>
  <si>
    <t>南昌段</t>
    <phoneticPr fontId="1" type="noConversion"/>
  </si>
  <si>
    <t>广州段</t>
    <phoneticPr fontId="1" type="noConversion"/>
  </si>
  <si>
    <t>昆明段</t>
    <phoneticPr fontId="1" type="noConversion"/>
  </si>
  <si>
    <t>哈尔滨段</t>
    <phoneticPr fontId="1" type="noConversion"/>
  </si>
  <si>
    <t>牡丹江段</t>
    <phoneticPr fontId="1" type="noConversion"/>
  </si>
  <si>
    <t>齐齐哈尔段</t>
    <phoneticPr fontId="1" type="noConversion"/>
  </si>
  <si>
    <t>杭州段</t>
    <phoneticPr fontId="1" type="noConversion"/>
  </si>
  <si>
    <t>翠亨</t>
  </si>
  <si>
    <t>翠亨</t>
    <phoneticPr fontId="1" type="noConversion"/>
  </si>
  <si>
    <t>广州南</t>
    <phoneticPr fontId="1" type="noConversion"/>
  </si>
  <si>
    <t>C7614</t>
    <phoneticPr fontId="1" type="noConversion"/>
  </si>
  <si>
    <t>CRH6A</t>
  </si>
  <si>
    <t>CRH6A</t>
    <phoneticPr fontId="1" type="noConversion"/>
  </si>
  <si>
    <t>06车10F</t>
    <phoneticPr fontId="1" type="noConversion"/>
  </si>
  <si>
    <t>虎门</t>
    <phoneticPr fontId="1" type="noConversion"/>
  </si>
  <si>
    <t>G821</t>
    <phoneticPr fontId="1" type="noConversion"/>
  </si>
  <si>
    <t>早点2'</t>
    <phoneticPr fontId="1" type="noConversion"/>
  </si>
  <si>
    <t>晚点1'</t>
    <phoneticPr fontId="1" type="noConversion"/>
  </si>
  <si>
    <t>出发</t>
    <phoneticPr fontId="1" type="noConversion"/>
  </si>
  <si>
    <t>到达</t>
    <phoneticPr fontId="1" type="noConversion"/>
  </si>
  <si>
    <t>CRH380AL</t>
  </si>
  <si>
    <t>CRH380AL</t>
    <phoneticPr fontId="1" type="noConversion"/>
  </si>
  <si>
    <t>08车08F</t>
    <phoneticPr fontId="1" type="noConversion"/>
  </si>
  <si>
    <t>广州</t>
    <phoneticPr fontId="1" type="noConversion"/>
  </si>
  <si>
    <t>肇庆</t>
  </si>
  <si>
    <t>肇庆</t>
    <phoneticPr fontId="1" type="noConversion"/>
  </si>
  <si>
    <t>T8306</t>
    <phoneticPr fontId="1" type="noConversion"/>
  </si>
  <si>
    <t>25Z</t>
  </si>
  <si>
    <t>25Z</t>
    <phoneticPr fontId="1" type="noConversion"/>
  </si>
  <si>
    <t>04车023</t>
    <phoneticPr fontId="1" type="noConversion"/>
  </si>
  <si>
    <t>正点</t>
    <phoneticPr fontId="1" type="noConversion"/>
  </si>
  <si>
    <t>阳春</t>
    <phoneticPr fontId="1" type="noConversion"/>
  </si>
  <si>
    <t>K949</t>
    <phoneticPr fontId="1" type="noConversion"/>
  </si>
  <si>
    <t>25G</t>
    <phoneticPr fontId="1" type="noConversion"/>
  </si>
  <si>
    <t>07车086</t>
    <phoneticPr fontId="1" type="noConversion"/>
  </si>
  <si>
    <t>晚点15'</t>
    <phoneticPr fontId="1" type="noConversion"/>
  </si>
  <si>
    <t>晚点12'</t>
    <phoneticPr fontId="1" type="noConversion"/>
  </si>
  <si>
    <t>客运段</t>
    <phoneticPr fontId="1" type="noConversion"/>
  </si>
  <si>
    <t>西安局</t>
    <phoneticPr fontId="1" type="noConversion"/>
  </si>
  <si>
    <t>西安段</t>
    <phoneticPr fontId="1" type="noConversion"/>
  </si>
  <si>
    <t>跨</t>
    <phoneticPr fontId="1" type="noConversion"/>
  </si>
  <si>
    <t>早点1'</t>
    <phoneticPr fontId="1" type="noConversion"/>
  </si>
  <si>
    <t>晚点9'</t>
    <phoneticPr fontId="1" type="noConversion"/>
  </si>
  <si>
    <t>晚点27'</t>
    <phoneticPr fontId="1" type="noConversion"/>
  </si>
  <si>
    <t>晚点6'</t>
    <phoneticPr fontId="1" type="noConversion"/>
  </si>
  <si>
    <t>正点</t>
    <phoneticPr fontId="1" type="noConversion"/>
  </si>
  <si>
    <t>晚点3'</t>
    <phoneticPr fontId="1" type="noConversion"/>
  </si>
  <si>
    <t xml:space="preserve"> </t>
    <phoneticPr fontId="1" type="noConversion"/>
  </si>
  <si>
    <t>其他</t>
    <phoneticPr fontId="1" type="noConversion"/>
  </si>
  <si>
    <t xml:space="preserve">   </t>
    <phoneticPr fontId="1" type="noConversion"/>
  </si>
  <si>
    <t>CRH2B</t>
    <phoneticPr fontId="1" type="noConversion"/>
  </si>
  <si>
    <t>高寒</t>
    <phoneticPr fontId="1" type="noConversion"/>
  </si>
  <si>
    <t>CRH2E</t>
    <phoneticPr fontId="1" type="noConversion"/>
  </si>
  <si>
    <t>CRH2G</t>
    <phoneticPr fontId="1" type="noConversion"/>
  </si>
  <si>
    <t>CRH3A</t>
    <phoneticPr fontId="1" type="noConversion"/>
  </si>
  <si>
    <t>CRH3C</t>
    <phoneticPr fontId="1" type="noConversion"/>
  </si>
  <si>
    <t>CRH5G</t>
    <phoneticPr fontId="1" type="noConversion"/>
  </si>
  <si>
    <t>CRH6A</t>
    <phoneticPr fontId="1" type="noConversion"/>
  </si>
  <si>
    <t>CRH6F</t>
    <phoneticPr fontId="1" type="noConversion"/>
  </si>
  <si>
    <t>CRH380A</t>
    <phoneticPr fontId="1" type="noConversion"/>
  </si>
  <si>
    <t>CRH380AL</t>
    <phoneticPr fontId="1" type="noConversion"/>
  </si>
  <si>
    <t>CRH380CL</t>
    <phoneticPr fontId="1" type="noConversion"/>
  </si>
  <si>
    <t>CRH380D</t>
    <phoneticPr fontId="1" type="noConversion"/>
  </si>
  <si>
    <t>CR400AF</t>
    <phoneticPr fontId="1" type="noConversion"/>
  </si>
  <si>
    <t>CR400BF</t>
    <phoneticPr fontId="1" type="noConversion"/>
  </si>
  <si>
    <t>CR400AF-Z</t>
    <phoneticPr fontId="1" type="noConversion"/>
  </si>
  <si>
    <t>智能动车</t>
    <phoneticPr fontId="1" type="noConversion"/>
  </si>
  <si>
    <t>CR400BF-A</t>
    <phoneticPr fontId="1" type="noConversion"/>
  </si>
  <si>
    <t>CR400BF-B</t>
    <phoneticPr fontId="1" type="noConversion"/>
  </si>
  <si>
    <t>CR400BF-GZ</t>
    <phoneticPr fontId="1" type="noConversion"/>
  </si>
  <si>
    <t>CR400BF-BZ</t>
    <phoneticPr fontId="1" type="noConversion"/>
  </si>
  <si>
    <t>E:软卧</t>
    <phoneticPr fontId="1" type="noConversion"/>
  </si>
  <si>
    <t>G:高寒</t>
    <phoneticPr fontId="1" type="noConversion"/>
  </si>
  <si>
    <t>Z:智能动车</t>
    <phoneticPr fontId="1" type="noConversion"/>
  </si>
  <si>
    <t>CR400AF-B</t>
    <phoneticPr fontId="1" type="noConversion"/>
  </si>
  <si>
    <t>CR400AF-G</t>
    <phoneticPr fontId="1" type="noConversion"/>
  </si>
  <si>
    <t>CR400AF-C</t>
    <phoneticPr fontId="1" type="noConversion"/>
  </si>
  <si>
    <t>CR400AF-J</t>
    <phoneticPr fontId="1" type="noConversion"/>
  </si>
  <si>
    <t>CR400AF-BZ</t>
    <phoneticPr fontId="1" type="noConversion"/>
  </si>
  <si>
    <t>CR400AF-S</t>
    <phoneticPr fontId="1" type="noConversion"/>
  </si>
  <si>
    <t>金凤凰</t>
    <phoneticPr fontId="1" type="noConversion"/>
  </si>
  <si>
    <t>CR400BF-C</t>
    <phoneticPr fontId="1" type="noConversion"/>
  </si>
  <si>
    <t>CR400BF-G</t>
    <phoneticPr fontId="1" type="noConversion"/>
  </si>
  <si>
    <t>CR400BF-Z</t>
    <phoneticPr fontId="1" type="noConversion"/>
  </si>
  <si>
    <t>CR400BF-S</t>
    <phoneticPr fontId="1" type="noConversion"/>
  </si>
  <si>
    <t>大地铁</t>
    <phoneticPr fontId="1" type="noConversion"/>
  </si>
  <si>
    <t>长地铁</t>
    <phoneticPr fontId="1" type="noConversion"/>
  </si>
  <si>
    <t>类别</t>
    <phoneticPr fontId="1" type="noConversion"/>
  </si>
  <si>
    <t>4M4T</t>
    <phoneticPr fontId="1" type="noConversion"/>
  </si>
  <si>
    <t>8M8T</t>
    <phoneticPr fontId="1" type="noConversion"/>
  </si>
  <si>
    <t>8M9T</t>
    <phoneticPr fontId="1" type="noConversion"/>
  </si>
  <si>
    <t>检测车</t>
    <phoneticPr fontId="1" type="noConversion"/>
  </si>
  <si>
    <t>京张京雄智能型</t>
    <phoneticPr fontId="1" type="noConversion"/>
  </si>
  <si>
    <t>双层车</t>
    <phoneticPr fontId="1" type="noConversion"/>
  </si>
  <si>
    <t>高寒智能</t>
    <phoneticPr fontId="1" type="noConversion"/>
  </si>
  <si>
    <t>加长智能</t>
    <phoneticPr fontId="1" type="noConversion"/>
  </si>
  <si>
    <t>高寒动车</t>
    <phoneticPr fontId="1" type="noConversion"/>
  </si>
  <si>
    <t>加长动车</t>
    <phoneticPr fontId="1" type="noConversion"/>
  </si>
  <si>
    <t>长动车</t>
    <phoneticPr fontId="1" type="noConversion"/>
  </si>
  <si>
    <t>加长</t>
    <phoneticPr fontId="1" type="noConversion"/>
  </si>
  <si>
    <t>CR：China railway</t>
    <phoneticPr fontId="1" type="noConversion"/>
  </si>
  <si>
    <t>数字：速度等级</t>
    <phoneticPr fontId="1" type="noConversion"/>
  </si>
  <si>
    <t>F：动力分布式电力动车</t>
    <phoneticPr fontId="1" type="noConversion"/>
  </si>
  <si>
    <t>J：动力集中式电力动车</t>
    <phoneticPr fontId="1" type="noConversion"/>
  </si>
  <si>
    <t>CR300BF</t>
    <phoneticPr fontId="1" type="noConversion"/>
  </si>
  <si>
    <t>CR300J</t>
    <phoneticPr fontId="1" type="noConversion"/>
  </si>
  <si>
    <t>CR250J</t>
    <phoneticPr fontId="1" type="noConversion"/>
  </si>
  <si>
    <t>1M8T</t>
    <phoneticPr fontId="1" type="noConversion"/>
  </si>
  <si>
    <t>CR200J-A</t>
    <phoneticPr fontId="1" type="noConversion"/>
  </si>
  <si>
    <t>CR200J-A长</t>
    <phoneticPr fontId="1" type="noConversion"/>
  </si>
  <si>
    <t>CR200J-B</t>
    <phoneticPr fontId="1" type="noConversion"/>
  </si>
  <si>
    <t>CR200J-B长</t>
    <phoneticPr fontId="1" type="noConversion"/>
  </si>
  <si>
    <t>CR200J-C</t>
    <phoneticPr fontId="1" type="noConversion"/>
  </si>
  <si>
    <t>CR200J-D</t>
    <phoneticPr fontId="1" type="noConversion"/>
  </si>
  <si>
    <t>CR200JS-G</t>
    <phoneticPr fontId="1" type="noConversion"/>
  </si>
  <si>
    <t>双源高原型</t>
    <phoneticPr fontId="1" type="noConversion"/>
  </si>
  <si>
    <t>2M16T</t>
    <phoneticPr fontId="1" type="noConversion"/>
  </si>
  <si>
    <t>3M9T</t>
    <phoneticPr fontId="1" type="noConversion"/>
  </si>
  <si>
    <t>蝗虫</t>
    <phoneticPr fontId="1" type="noConversion"/>
  </si>
  <si>
    <t>带鱼</t>
    <phoneticPr fontId="1" type="noConversion"/>
  </si>
  <si>
    <t>长带鱼</t>
    <phoneticPr fontId="1" type="noConversion"/>
  </si>
  <si>
    <t>疯带鱼</t>
    <phoneticPr fontId="1" type="noConversion"/>
  </si>
  <si>
    <t>冻带鱼</t>
    <phoneticPr fontId="1" type="noConversion"/>
  </si>
  <si>
    <t>驴</t>
    <phoneticPr fontId="1" type="noConversion"/>
  </si>
  <si>
    <t>老鼠</t>
    <phoneticPr fontId="1" type="noConversion"/>
  </si>
  <si>
    <t>兔子</t>
    <phoneticPr fontId="1" type="noConversion"/>
  </si>
  <si>
    <t>鲨鱼</t>
    <phoneticPr fontId="1" type="noConversion"/>
  </si>
  <si>
    <t>真地铁</t>
    <phoneticPr fontId="1" type="noConversion"/>
  </si>
  <si>
    <t>DF-2</t>
  </si>
  <si>
    <t>DF11Z 绿狮子头</t>
  </si>
  <si>
    <t>DF-4-B-D</t>
  </si>
  <si>
    <t>DF-4-C 假乌克兰（4B改4D） 方头</t>
  </si>
  <si>
    <t>DF-4-C-K 假8B</t>
  </si>
  <si>
    <t>DF-4-D 老虎 绿地（径向型）</t>
  </si>
  <si>
    <t>DF-4-D-D 狗头车</t>
  </si>
  <si>
    <t>DF-4-D-H 乌克兰</t>
  </si>
  <si>
    <t>DF-4-D-F 花老虎</t>
  </si>
  <si>
    <t>DF-4-D-J 假洋鬼子</t>
  </si>
  <si>
    <t>DF-4-D-K 花老虎</t>
  </si>
  <si>
    <t>DF-4-E 砍头东风</t>
  </si>
  <si>
    <t>DF-5 劳模</t>
  </si>
  <si>
    <t>DF-5-D 大力劳模</t>
  </si>
  <si>
    <t>DF-6 胖脸东风</t>
  </si>
  <si>
    <t>DF-7</t>
  </si>
  <si>
    <t>DF-7-B 纹身东调</t>
  </si>
  <si>
    <t>DF-7-C-3 圆头东风</t>
  </si>
  <si>
    <t>DF-7-D 砍头北京</t>
  </si>
  <si>
    <t>DF-7-G 大力神</t>
  </si>
  <si>
    <t>DF-7-J 小眼蓝调</t>
  </si>
  <si>
    <t>DF-8 小眼东风</t>
  </si>
  <si>
    <t>DF-8-B-J 大眼东风</t>
  </si>
  <si>
    <t>DF-8-D-J 紫色老妖</t>
  </si>
  <si>
    <t>DF-9 大头东风</t>
  </si>
  <si>
    <t>DF-10 大嘴东风</t>
  </si>
  <si>
    <t>DF-10-D 东风老头</t>
  </si>
  <si>
    <t>DF-10-F 大脸东风</t>
  </si>
  <si>
    <t>DF-11 狮子/狮子头/妖妖</t>
  </si>
  <si>
    <t>DF-11-G 猪头</t>
  </si>
  <si>
    <t>DF-12 大脑门</t>
  </si>
  <si>
    <t>ND-1 罗马风</t>
  </si>
  <si>
    <t>ND-2 小罗马</t>
  </si>
  <si>
    <t>ND-3 大草绿</t>
  </si>
  <si>
    <t>ND-4 法国蓝</t>
  </si>
  <si>
    <t>SS-1 老芍药</t>
  </si>
  <si>
    <t>SS-3-B 草绿三八</t>
  </si>
  <si>
    <t>SS-3-B-G 砍头车(固定重联)</t>
  </si>
  <si>
    <t>SS-4-G 大头四 蓝鸟</t>
  </si>
  <si>
    <t>SS-7-B 大脸猫</t>
  </si>
  <si>
    <t>SS-7-D 铠甲/棺材盒子/变形金刚</t>
  </si>
  <si>
    <t>SS-7-E 美女/狸猫/火腿肠</t>
  </si>
  <si>
    <t>SS-9 青蛙王子</t>
  </si>
  <si>
    <t>SS-9-G 面包/烧酒/两头蛇/机动高达</t>
  </si>
  <si>
    <t>SS-J-3 胶塞儿</t>
  </si>
  <si>
    <t>东风型</t>
    <phoneticPr fontId="1" type="noConversion"/>
  </si>
  <si>
    <t>韶山型</t>
    <phoneticPr fontId="1" type="noConversion"/>
  </si>
  <si>
    <t>SS-7-C 大脸猫(黄版：香蕉)</t>
    <phoneticPr fontId="1" type="noConversion"/>
  </si>
  <si>
    <t>SS-7大脸猫 烧鸡</t>
    <phoneticPr fontId="1" type="noConversion"/>
  </si>
  <si>
    <t>SS-6-B 烈火金刚 流弊 漏逼</t>
    <phoneticPr fontId="1" type="noConversion"/>
  </si>
  <si>
    <t>SS-8 小四轮/扫把/熊猫眼/五菱宏光</t>
    <phoneticPr fontId="1" type="noConversion"/>
  </si>
  <si>
    <t>萌地铁</t>
    <phoneticPr fontId="1" type="noConversion"/>
  </si>
  <si>
    <t>HXD2D 京剧脸</t>
  </si>
  <si>
    <t>HXD3 电猴/蛋三</t>
    <phoneticPr fontId="1" type="noConversion"/>
  </si>
  <si>
    <t>HXD3D 红狒狒（现涂装）/西红柿（彩虹涂装）/抖三抖</t>
    <phoneticPr fontId="1" type="noConversion"/>
  </si>
  <si>
    <t>DF-4-B 西瓜(货)  橘子(客)   武警(货)  假橘子(货改客)  假西瓜(客改货)  茄子</t>
    <phoneticPr fontId="1" type="noConversion"/>
  </si>
  <si>
    <t>DF-4-A 西瓜 武警 假橘子(货改客)   假西瓜(客改货)  假乌克兰</t>
    <phoneticPr fontId="1" type="noConversion"/>
  </si>
  <si>
    <t>DF-8-B 蓝猫/芭比</t>
    <phoneticPr fontId="1" type="noConversion"/>
  </si>
  <si>
    <t>内电型</t>
    <phoneticPr fontId="1" type="noConversion"/>
  </si>
  <si>
    <t>和谐电</t>
    <phoneticPr fontId="1" type="noConversion"/>
  </si>
  <si>
    <t>管内</t>
    <phoneticPr fontId="1" type="noConversion"/>
  </si>
  <si>
    <t>N</t>
    <phoneticPr fontId="1" type="noConversion"/>
  </si>
  <si>
    <t>DF-1哭脸</t>
    <phoneticPr fontId="1" type="noConversion"/>
  </si>
  <si>
    <t>DF-3 女鬼叫/笑脸</t>
    <phoneticPr fontId="1" type="noConversion"/>
  </si>
  <si>
    <t>DF-7-C-2郎神</t>
    <phoneticPr fontId="1" type="noConversion"/>
  </si>
  <si>
    <t>ND-5 绿老头/美洲狮/大老美</t>
    <phoneticPr fontId="1" type="noConversion"/>
  </si>
  <si>
    <t>HXN3  棺材，绿巨人，大绿巨人</t>
  </si>
  <si>
    <t>HXN3B  内三笔</t>
  </si>
  <si>
    <t>HXN3K  烤猪</t>
  </si>
  <si>
    <t>HXN5  蚂蚱，双头龙</t>
  </si>
  <si>
    <t>HXN5B  内五笔</t>
  </si>
  <si>
    <t>HXN5K  猪八戒</t>
  </si>
  <si>
    <t>和谐内燃</t>
    <phoneticPr fontId="1" type="noConversion"/>
  </si>
  <si>
    <t>HXD1  大河蟹，抖一</t>
  </si>
  <si>
    <t>HXD1-1000系  蓝精灵，铁八（八轴）</t>
  </si>
  <si>
    <t>HXD1B  河蟹</t>
  </si>
  <si>
    <t>HXD2  河马，老河马</t>
  </si>
  <si>
    <t>HXD2B  卷帘门，抖两遍</t>
  </si>
  <si>
    <t>HXD2C  卷帘门</t>
  </si>
  <si>
    <t>HXD3A  猿人</t>
  </si>
  <si>
    <t>HXD3B  猩猩</t>
  </si>
  <si>
    <t>HXD3C  狒狒，抖三次</t>
  </si>
  <si>
    <t>HXD1D  红枣，蟑螂，天猫，抖一抖</t>
    <phoneticPr fontId="1" type="noConversion"/>
  </si>
  <si>
    <t>HXD1C  螃蟹，核弹头，电猫，声优，抖一次</t>
    <phoneticPr fontId="1" type="noConversion"/>
  </si>
  <si>
    <t>多边形/兔子</t>
    <phoneticPr fontId="1" type="noConversion"/>
  </si>
  <si>
    <t>睡带鱼/夜带鱼</t>
    <phoneticPr fontId="1" type="noConversion"/>
  </si>
  <si>
    <t>黄金眼</t>
    <phoneticPr fontId="1" type="noConversion"/>
  </si>
  <si>
    <t>冻驴</t>
    <phoneticPr fontId="1" type="noConversion"/>
  </si>
  <si>
    <t>CRH5E</t>
    <phoneticPr fontId="1" type="noConversion"/>
  </si>
  <si>
    <t>熊猫</t>
    <phoneticPr fontId="1" type="noConversion"/>
  </si>
  <si>
    <t>大耗子</t>
    <phoneticPr fontId="1" type="noConversion"/>
  </si>
  <si>
    <t>大兔子</t>
    <phoneticPr fontId="1" type="noConversion"/>
  </si>
  <si>
    <t>CRH380C</t>
    <phoneticPr fontId="1" type="noConversion"/>
  </si>
  <si>
    <t>鲨鱼/毛毛虫</t>
    <phoneticPr fontId="1" type="noConversion"/>
  </si>
  <si>
    <t>疯地铁/胖头鱼</t>
    <phoneticPr fontId="1" type="noConversion"/>
  </si>
  <si>
    <t>蓝妹妹/海之蓝</t>
    <phoneticPr fontId="1" type="noConversion"/>
  </si>
  <si>
    <t>蓝暖男/天之蓝</t>
    <phoneticPr fontId="1" type="noConversion"/>
  </si>
  <si>
    <t>蓝/红海豚</t>
    <phoneticPr fontId="1" type="noConversion"/>
  </si>
  <si>
    <t>垃圾桶/绿巨人</t>
    <phoneticPr fontId="1" type="noConversion"/>
  </si>
  <si>
    <t>SS-2 大头/小二</t>
    <phoneticPr fontId="1" type="noConversion"/>
  </si>
  <si>
    <t>SS-3草绿三八/淑女/三哥/小三</t>
    <phoneticPr fontId="1" type="noConversion"/>
  </si>
  <si>
    <t>SS-4 大白鲨 公牛 四哥</t>
    <phoneticPr fontId="1" type="noConversion"/>
  </si>
  <si>
    <t>SS-4-B 白鲨改</t>
    <phoneticPr fontId="1" type="noConversion"/>
  </si>
  <si>
    <t>SS-5 橙色盔甲 小五</t>
    <phoneticPr fontId="1" type="noConversion"/>
  </si>
  <si>
    <t>SS-6花猫 小六</t>
    <phoneticPr fontId="1" type="noConversion"/>
  </si>
  <si>
    <t>非动车</t>
    <phoneticPr fontId="1" type="noConversion"/>
  </si>
  <si>
    <t>和谐号</t>
    <phoneticPr fontId="1" type="noConversion"/>
  </si>
  <si>
    <t>复兴号</t>
    <phoneticPr fontId="1" type="noConversion"/>
  </si>
  <si>
    <t>A：中车青岛四方机车车辆公司</t>
    <phoneticPr fontId="1" type="noConversion"/>
  </si>
  <si>
    <t>B：中车长春轨道客运公司</t>
    <phoneticPr fontId="1" type="noConversion"/>
  </si>
  <si>
    <t>25B</t>
    <phoneticPr fontId="1" type="noConversion"/>
  </si>
  <si>
    <t>25T</t>
    <phoneticPr fontId="1" type="noConversion"/>
  </si>
  <si>
    <t>21： 1953-1961，产量3110节</t>
  </si>
  <si>
    <t>22： 1959-1994，产量约26000节</t>
  </si>
  <si>
    <t>25A：1989-1990，产量168节，硬座74节 硬卧66节，软卧9节，餐车9节，空电10节</t>
  </si>
  <si>
    <t>25B：1992-2010，产量巨大</t>
  </si>
  <si>
    <t>25C：1994-1995，产量30节，一等软座8节，二等软座18节，餐车2节 空电2节</t>
  </si>
  <si>
    <t>25K：1996-2003，产量2700+节</t>
  </si>
  <si>
    <t>RW19K：1996-2003，产量很小</t>
  </si>
  <si>
    <t>25Z：1993-1994第一批66节 1996第二批</t>
  </si>
  <si>
    <t>25G：1992至今，产量巨大</t>
  </si>
  <si>
    <t>25T：2002至今，产量很大</t>
  </si>
  <si>
    <t>24： 1966，广深空调软座列车 产量11节，其中软座10节，行李发电合造车1节</t>
    <phoneticPr fontId="1" type="noConversion"/>
  </si>
  <si>
    <t>24： 1979-1980第一批，带加强筋；1986-1990第二批，不带加强筋</t>
    <phoneticPr fontId="1" type="noConversion"/>
  </si>
  <si>
    <t>东德进口380节，软卧290节，软座82节，餐车8节</t>
  </si>
  <si>
    <t>19K</t>
    <phoneticPr fontId="1" type="noConversion"/>
  </si>
  <si>
    <t>19T</t>
    <phoneticPr fontId="1" type="noConversion"/>
  </si>
  <si>
    <t>车次担当局</t>
    <phoneticPr fontId="1" type="noConversion"/>
  </si>
  <si>
    <t>怀化段</t>
    <phoneticPr fontId="1" type="noConversion"/>
  </si>
  <si>
    <t>东莞东段</t>
    <phoneticPr fontId="1" type="noConversion"/>
  </si>
  <si>
    <t>上海段</t>
    <phoneticPr fontId="1" type="noConversion"/>
  </si>
  <si>
    <t>合肥段</t>
    <phoneticPr fontId="1" type="noConversion"/>
  </si>
  <si>
    <t>成都段</t>
    <phoneticPr fontId="1" type="noConversion"/>
  </si>
  <si>
    <t>贵阳段</t>
    <phoneticPr fontId="1" type="noConversion"/>
  </si>
  <si>
    <t>昆明段</t>
    <phoneticPr fontId="1" type="noConversion"/>
  </si>
  <si>
    <t>东莞南</t>
  </si>
  <si>
    <t>惠东南</t>
  </si>
  <si>
    <t>广九线</t>
  </si>
  <si>
    <t>37km</t>
  </si>
  <si>
    <t>塘厦所</t>
  </si>
  <si>
    <t>莞塘深联络线</t>
  </si>
  <si>
    <t>2km</t>
  </si>
  <si>
    <t>京港高铁赣深段</t>
  </si>
  <si>
    <t>19km</t>
  </si>
  <si>
    <t>光明城</t>
  </si>
  <si>
    <t>广深港高速线</t>
  </si>
  <si>
    <t>16km</t>
  </si>
  <si>
    <t>容桂</t>
    <phoneticPr fontId="1" type="noConversion"/>
  </si>
  <si>
    <t>G6094</t>
    <phoneticPr fontId="1" type="noConversion"/>
  </si>
  <si>
    <t>10车05F</t>
    <phoneticPr fontId="1" type="noConversion"/>
  </si>
  <si>
    <t>C7625</t>
    <phoneticPr fontId="1" type="noConversion"/>
  </si>
  <si>
    <t>06车06F</t>
    <phoneticPr fontId="1" type="noConversion"/>
  </si>
  <si>
    <t>深圳东</t>
    <phoneticPr fontId="1" type="noConversion"/>
  </si>
  <si>
    <t>K931</t>
    <phoneticPr fontId="1" type="noConversion"/>
  </si>
  <si>
    <t>02车025</t>
    <phoneticPr fontId="1" type="noConversion"/>
  </si>
  <si>
    <t>武汉局</t>
    <phoneticPr fontId="1" type="noConversion"/>
  </si>
  <si>
    <t>襄阳段</t>
    <phoneticPr fontId="1" type="noConversion"/>
  </si>
  <si>
    <t>晚点16‘</t>
    <phoneticPr fontId="1" type="noConversion"/>
  </si>
  <si>
    <t>DC600V</t>
    <phoneticPr fontId="1" type="noConversion"/>
  </si>
  <si>
    <t>宜昌东调向</t>
    <phoneticPr fontId="1" type="noConversion"/>
  </si>
  <si>
    <t>晚点11’</t>
    <phoneticPr fontId="1" type="noConversion"/>
  </si>
  <si>
    <t>SS8_0213</t>
    <phoneticPr fontId="1" type="noConversion"/>
  </si>
  <si>
    <t>牵引</t>
    <phoneticPr fontId="1" type="noConversion"/>
  </si>
  <si>
    <t>DF4B_3998</t>
    <phoneticPr fontId="1" type="noConversion"/>
  </si>
  <si>
    <t>DF4D_0385</t>
    <phoneticPr fontId="1" type="noConversion"/>
  </si>
  <si>
    <t>DF11</t>
    <phoneticPr fontId="1" type="noConversion"/>
  </si>
  <si>
    <t>DF4B_2548</t>
    <phoneticPr fontId="1" type="noConversion"/>
  </si>
  <si>
    <t>K1656</t>
    <phoneticPr fontId="1" type="noConversion"/>
  </si>
  <si>
    <t>04车065</t>
    <phoneticPr fontId="1" type="noConversion"/>
  </si>
  <si>
    <t>C6814</t>
    <phoneticPr fontId="1" type="noConversion"/>
  </si>
  <si>
    <t>早点3'</t>
    <phoneticPr fontId="1" type="noConversion"/>
  </si>
  <si>
    <t>花费</t>
    <phoneticPr fontId="1" type="noConversion"/>
  </si>
  <si>
    <t>G1036</t>
    <phoneticPr fontId="1" type="noConversion"/>
  </si>
  <si>
    <t>07车11F</t>
    <phoneticPr fontId="1" type="noConversion"/>
  </si>
  <si>
    <t>G1009</t>
    <phoneticPr fontId="1" type="noConversion"/>
  </si>
  <si>
    <t>04车12C</t>
    <phoneticPr fontId="1" type="noConversion"/>
  </si>
  <si>
    <t>晚点60'</t>
    <phoneticPr fontId="1" type="noConversion"/>
  </si>
  <si>
    <t>武汉段</t>
    <phoneticPr fontId="1" type="noConversion"/>
  </si>
  <si>
    <t>深圳北</t>
    <phoneticPr fontId="1" type="noConversion"/>
  </si>
  <si>
    <t>东莞</t>
    <phoneticPr fontId="1" type="noConversion"/>
  </si>
  <si>
    <t>G6568</t>
    <phoneticPr fontId="1" type="noConversion"/>
  </si>
  <si>
    <t>CR300AF</t>
    <phoneticPr fontId="1" type="noConversion"/>
  </si>
  <si>
    <t>06车06A</t>
    <phoneticPr fontId="1" type="noConversion"/>
  </si>
  <si>
    <t>正点</t>
    <phoneticPr fontId="1" type="noConversion"/>
  </si>
  <si>
    <t>G6559</t>
    <phoneticPr fontId="1" type="noConversion"/>
  </si>
  <si>
    <t>07车10F</t>
    <phoneticPr fontId="1" type="noConversion"/>
  </si>
  <si>
    <t>晚点3'</t>
    <phoneticPr fontId="1" type="noConversion"/>
  </si>
  <si>
    <t>贵阳北</t>
  </si>
  <si>
    <t>贵阳北</t>
    <phoneticPr fontId="1" type="noConversion"/>
  </si>
  <si>
    <t>G3732</t>
    <phoneticPr fontId="1" type="noConversion"/>
  </si>
  <si>
    <t>14车05A</t>
    <phoneticPr fontId="1" type="noConversion"/>
  </si>
  <si>
    <t>重联</t>
    <phoneticPr fontId="1" type="noConversion"/>
  </si>
  <si>
    <t>CR400AF</t>
  </si>
  <si>
    <t>CR400AF</t>
    <phoneticPr fontId="1" type="noConversion"/>
  </si>
  <si>
    <t>跨</t>
    <phoneticPr fontId="1" type="noConversion"/>
  </si>
  <si>
    <t>早点2'</t>
    <phoneticPr fontId="1" type="noConversion"/>
  </si>
  <si>
    <t>早点3'</t>
    <phoneticPr fontId="1" type="noConversion"/>
  </si>
  <si>
    <t>荔波</t>
  </si>
  <si>
    <t>荔波</t>
    <phoneticPr fontId="1" type="noConversion"/>
  </si>
  <si>
    <t>G8715</t>
    <phoneticPr fontId="1" type="noConversion"/>
  </si>
  <si>
    <t>CRH380D</t>
  </si>
  <si>
    <t>CRH380D</t>
    <phoneticPr fontId="1" type="noConversion"/>
  </si>
  <si>
    <t>04车03F</t>
    <phoneticPr fontId="1" type="noConversion"/>
  </si>
  <si>
    <t>都匀东</t>
  </si>
  <si>
    <t>都匀东</t>
    <phoneticPr fontId="1" type="noConversion"/>
  </si>
  <si>
    <t>G3718</t>
    <phoneticPr fontId="1" type="noConversion"/>
  </si>
  <si>
    <t>11车16D</t>
    <phoneticPr fontId="1" type="noConversion"/>
  </si>
  <si>
    <t>晚点1'</t>
    <phoneticPr fontId="1" type="noConversion"/>
  </si>
  <si>
    <t>CRH3C</t>
  </si>
  <si>
    <t>CRH3C</t>
    <phoneticPr fontId="1" type="noConversion"/>
  </si>
  <si>
    <t>盘州</t>
  </si>
  <si>
    <t>盘州</t>
    <phoneticPr fontId="1" type="noConversion"/>
  </si>
  <si>
    <t>G2115</t>
    <phoneticPr fontId="1" type="noConversion"/>
  </si>
  <si>
    <t>02车15A</t>
    <phoneticPr fontId="1" type="noConversion"/>
  </si>
  <si>
    <t>晚点15'</t>
    <phoneticPr fontId="1" type="noConversion"/>
  </si>
  <si>
    <t>晚点17'</t>
    <phoneticPr fontId="1" type="noConversion"/>
  </si>
  <si>
    <t>CR400BF-Z</t>
  </si>
  <si>
    <t>深圳东</t>
  </si>
  <si>
    <t>容桂</t>
  </si>
  <si>
    <t>平均速度</t>
    <phoneticPr fontId="1" type="noConversion"/>
  </si>
  <si>
    <t>深圳</t>
    <phoneticPr fontId="1" type="noConversion"/>
  </si>
  <si>
    <t>C8040</t>
    <phoneticPr fontId="1" type="noConversion"/>
  </si>
  <si>
    <t>06车08F</t>
    <phoneticPr fontId="1" type="noConversion"/>
  </si>
  <si>
    <t>韶关东</t>
    <phoneticPr fontId="1" type="noConversion"/>
  </si>
  <si>
    <t>K238</t>
    <phoneticPr fontId="1" type="noConversion"/>
  </si>
  <si>
    <t>17车029</t>
    <phoneticPr fontId="1" type="noConversion"/>
  </si>
  <si>
    <t>太原局</t>
    <phoneticPr fontId="1" type="noConversion"/>
  </si>
  <si>
    <t>清远</t>
    <phoneticPr fontId="1" type="noConversion"/>
  </si>
  <si>
    <t>05车01C</t>
    <phoneticPr fontId="1" type="noConversion"/>
  </si>
  <si>
    <t>深圳北</t>
    <phoneticPr fontId="1" type="noConversion"/>
  </si>
  <si>
    <t>香港西九龙</t>
    <phoneticPr fontId="1" type="noConversion"/>
  </si>
  <si>
    <t>东莞</t>
    <phoneticPr fontId="1" type="noConversion"/>
  </si>
  <si>
    <t>G6505</t>
    <phoneticPr fontId="1" type="noConversion"/>
  </si>
  <si>
    <t>G6564</t>
    <phoneticPr fontId="1" type="noConversion"/>
  </si>
  <si>
    <t>D2321</t>
    <phoneticPr fontId="1" type="noConversion"/>
  </si>
  <si>
    <t>CR400BF</t>
  </si>
  <si>
    <t>CR400BF</t>
    <phoneticPr fontId="1" type="noConversion"/>
  </si>
  <si>
    <t>重联</t>
    <phoneticPr fontId="1" type="noConversion"/>
  </si>
  <si>
    <t>北京局</t>
    <phoneticPr fontId="1" type="noConversion"/>
  </si>
  <si>
    <t>天津段</t>
    <phoneticPr fontId="1" type="noConversion"/>
  </si>
  <si>
    <t>CR300AF</t>
    <phoneticPr fontId="1" type="noConversion"/>
  </si>
  <si>
    <t>16车03F</t>
    <phoneticPr fontId="1" type="noConversion"/>
  </si>
  <si>
    <t>02车04F</t>
    <phoneticPr fontId="1" type="noConversion"/>
  </si>
  <si>
    <t>10车08A</t>
    <phoneticPr fontId="1" type="noConversion"/>
  </si>
  <si>
    <t>CRH2A</t>
    <phoneticPr fontId="1" type="noConversion"/>
  </si>
  <si>
    <t>跨</t>
    <phoneticPr fontId="1" type="noConversion"/>
  </si>
  <si>
    <t>早点1'</t>
    <phoneticPr fontId="1" type="noConversion"/>
  </si>
  <si>
    <t>正点</t>
    <phoneticPr fontId="1" type="noConversion"/>
  </si>
  <si>
    <t>早点3‘</t>
    <phoneticPr fontId="1" type="noConversion"/>
  </si>
  <si>
    <t>晚点3'</t>
    <phoneticPr fontId="1" type="noConversion"/>
  </si>
  <si>
    <t>太原段</t>
    <phoneticPr fontId="1" type="noConversion"/>
  </si>
  <si>
    <t>港</t>
    <phoneticPr fontId="1" type="noConversion"/>
  </si>
  <si>
    <t>港</t>
    <phoneticPr fontId="1" type="noConversion"/>
  </si>
  <si>
    <t>孟塬调向</t>
    <phoneticPr fontId="1" type="noConversion"/>
  </si>
  <si>
    <t>集便</t>
    <phoneticPr fontId="1" type="noConversion"/>
  </si>
  <si>
    <t>东莞</t>
    <phoneticPr fontId="1" type="noConversion"/>
  </si>
  <si>
    <t>深圳北</t>
    <phoneticPr fontId="1" type="noConversion"/>
  </si>
  <si>
    <t>C7091</t>
    <phoneticPr fontId="1" type="noConversion"/>
  </si>
  <si>
    <t>06车04B</t>
    <phoneticPr fontId="1" type="noConversion"/>
  </si>
  <si>
    <t>CRH6A</t>
    <phoneticPr fontId="1" type="noConversion"/>
  </si>
  <si>
    <t>正点</t>
    <phoneticPr fontId="1" type="noConversion"/>
  </si>
  <si>
    <t>香港西九龙</t>
  </si>
  <si>
    <t>G5657</t>
    <phoneticPr fontId="1" type="noConversion"/>
  </si>
  <si>
    <t>02车02F</t>
    <phoneticPr fontId="1" type="noConversion"/>
  </si>
  <si>
    <t>D7592</t>
    <phoneticPr fontId="1" type="noConversion"/>
  </si>
  <si>
    <t>03车08F</t>
    <phoneticPr fontId="1" type="noConversion"/>
  </si>
  <si>
    <t>万宁</t>
  </si>
  <si>
    <t>万宁</t>
    <phoneticPr fontId="1" type="noConversion"/>
  </si>
  <si>
    <t>海口东</t>
  </si>
  <si>
    <t>海口东</t>
    <phoneticPr fontId="1" type="noConversion"/>
  </si>
  <si>
    <t>C7476</t>
    <phoneticPr fontId="1" type="noConversion"/>
  </si>
  <si>
    <t>海口段</t>
    <phoneticPr fontId="1" type="noConversion"/>
  </si>
  <si>
    <t>03车04F</t>
    <phoneticPr fontId="1" type="noConversion"/>
  </si>
  <si>
    <t>长白山</t>
  </si>
  <si>
    <t>长白山</t>
    <phoneticPr fontId="1" type="noConversion"/>
  </si>
  <si>
    <t>长春</t>
  </si>
  <si>
    <t>长春</t>
    <phoneticPr fontId="1" type="noConversion"/>
  </si>
  <si>
    <t>C1301</t>
    <phoneticPr fontId="1" type="noConversion"/>
  </si>
  <si>
    <t>CRH5G</t>
  </si>
  <si>
    <t>沈阳局</t>
    <phoneticPr fontId="1" type="noConversion"/>
  </si>
  <si>
    <t>长春段</t>
    <phoneticPr fontId="1" type="noConversion"/>
  </si>
  <si>
    <t>龙嘉</t>
  </si>
  <si>
    <t>龙嘉</t>
    <phoneticPr fontId="1" type="noConversion"/>
  </si>
  <si>
    <t>C1209</t>
    <phoneticPr fontId="1" type="noConversion"/>
  </si>
  <si>
    <t>01车06F</t>
    <phoneticPr fontId="1" type="noConversion"/>
  </si>
  <si>
    <t>深圳</t>
  </si>
  <si>
    <t>清远</t>
  </si>
  <si>
    <t>韶关东</t>
  </si>
  <si>
    <t>总里程</t>
  </si>
  <si>
    <t>站点和里程</t>
  </si>
  <si>
    <t>328km</t>
  </si>
  <si>
    <t>575km</t>
    <phoneticPr fontId="1" type="noConversion"/>
  </si>
  <si>
    <t>526km</t>
    <phoneticPr fontId="1" type="noConversion"/>
  </si>
  <si>
    <t>39km</t>
  </si>
  <si>
    <t>74km</t>
  </si>
  <si>
    <t>88km</t>
    <phoneticPr fontId="1" type="noConversion"/>
  </si>
  <si>
    <t>29km</t>
  </si>
  <si>
    <t>25km</t>
  </si>
  <si>
    <t>42km</t>
  </si>
  <si>
    <t>174km</t>
  </si>
  <si>
    <t>809km</t>
  </si>
  <si>
    <t>71km</t>
  </si>
  <si>
    <t>246km</t>
  </si>
  <si>
    <t>148km</t>
  </si>
  <si>
    <t>177km</t>
  </si>
  <si>
    <t>52km</t>
  </si>
  <si>
    <t>115km</t>
  </si>
  <si>
    <t>180km</t>
  </si>
  <si>
    <t>160km</t>
  </si>
  <si>
    <t>204km</t>
  </si>
  <si>
    <t>285km</t>
  </si>
  <si>
    <t>431km</t>
  </si>
  <si>
    <t>475km</t>
  </si>
  <si>
    <t>179km</t>
  </si>
  <si>
    <t>186km</t>
  </si>
  <si>
    <t>88km</t>
  </si>
  <si>
    <t>50km</t>
  </si>
  <si>
    <t>109km</t>
  </si>
  <si>
    <t>137km</t>
  </si>
  <si>
    <t>32km</t>
  </si>
  <si>
    <t>68km</t>
  </si>
  <si>
    <t>102km</t>
  </si>
  <si>
    <t>958km</t>
  </si>
  <si>
    <t>216km</t>
    <phoneticPr fontId="1" type="noConversion"/>
  </si>
  <si>
    <t>251km</t>
  </si>
  <si>
    <t>76km</t>
  </si>
  <si>
    <t>344km</t>
  </si>
  <si>
    <t>185km</t>
  </si>
  <si>
    <t>113km</t>
  </si>
  <si>
    <t>169km</t>
  </si>
  <si>
    <t>378km</t>
  </si>
  <si>
    <t>575km</t>
  </si>
  <si>
    <t>526km</t>
  </si>
  <si>
    <t>216km</t>
  </si>
  <si>
    <t>总里程</t>
    <phoneticPr fontId="1" type="noConversion"/>
  </si>
  <si>
    <t>区间与里程</t>
    <phoneticPr fontId="1" type="noConversion"/>
  </si>
  <si>
    <t>始发站</t>
  </si>
  <si>
    <t>终到站</t>
  </si>
  <si>
    <t>广通北</t>
  </si>
  <si>
    <t>温泉</t>
  </si>
  <si>
    <t>平湖</t>
  </si>
  <si>
    <t>李朗所</t>
  </si>
  <si>
    <t>前场</t>
  </si>
  <si>
    <t>丹阳</t>
  </si>
  <si>
    <t>镇江</t>
  </si>
  <si>
    <t>小榄</t>
  </si>
  <si>
    <t>肇东</t>
  </si>
  <si>
    <t>杜尔伯特</t>
  </si>
  <si>
    <t>富裕</t>
  </si>
  <si>
    <t>龙里北</t>
  </si>
  <si>
    <t>老罗堡</t>
  </si>
  <si>
    <t>贵阳</t>
  </si>
  <si>
    <t>石滩</t>
  </si>
  <si>
    <t>广州北</t>
  </si>
  <si>
    <t>敦化南</t>
  </si>
  <si>
    <t>敦化</t>
  </si>
  <si>
    <t>⇌</t>
    <phoneticPr fontId="1" type="noConversion"/>
  </si>
  <si>
    <t>大理-楚大线175km-广通北-广昆线广温段121km-温泉-成昆铁路元昆段32km-昆明</t>
  </si>
  <si>
    <t>东莞-广九线56km-平湖-平湖联络线8km-李朗所-杭深线485km-前场-鹰厦线26km-厦门</t>
  </si>
  <si>
    <t>厦门北-杭深线498km-李朗所-平湖联络线8km-平湖-广九线56km-东莞</t>
  </si>
  <si>
    <t>东莞-广九线37km-塘厦所-莞塘深联络线2km-东莞南</t>
  </si>
  <si>
    <t>东莞南-莞塘深联络线2km-塘厦所-广九线37km-东莞</t>
  </si>
  <si>
    <t>深圳北-广深港高速线16km-光明城-京港高铁赣深段19km-东莞南-莞塘深联络线2km-塘厦所-广九线37km-东莞</t>
  </si>
  <si>
    <t>东莞-广九线37km-塘厦所-莞塘深联络线2km-东莞南-京港高铁赣深段19km-光明城-广深港高速线16km-深圳北</t>
  </si>
  <si>
    <t>深圳北-杭深线88km-惠东</t>
  </si>
  <si>
    <t>无锡新区-沪宁高速线29km-苏州</t>
  </si>
  <si>
    <t>苏州-沪宁高速线25km-阳澄湖</t>
  </si>
  <si>
    <t>苏州-沪宁高速线/京沪线42km-无锡</t>
  </si>
  <si>
    <t>无锡-京沪线83km-丹阳-沪宁高速线27km-镇江-京沪线64km-南京</t>
  </si>
  <si>
    <t>深圳北-广深港高速线102km-广州南-京广高铁707km-长沙南</t>
  </si>
  <si>
    <t>长沙南-京广高铁707km-广州南-广深港高速线102km-深圳北</t>
  </si>
  <si>
    <t>东莞-广九线71km-广州</t>
  </si>
  <si>
    <t>广州-广茂线246km-阳春</t>
  </si>
  <si>
    <t>阳江-深湛线江湛段148km-江门</t>
  </si>
  <si>
    <t>江门-江门线30km-小榄-广珠城际线45km-广州南-广深港高速线102km-深圳北</t>
  </si>
  <si>
    <t>深圳北-广深港高速线52km-虎门</t>
  </si>
  <si>
    <t>阳春-广茂线115km-茂名</t>
  </si>
  <si>
    <t>茂名-深湛线江湛段180km-恩平</t>
  </si>
  <si>
    <t>恩平-深湛线江湛段85km-江门-江门线30km-小榄-广珠城际线45km-广州南</t>
  </si>
  <si>
    <t>广州-广九线71km-东莞</t>
  </si>
  <si>
    <t>亚布力西-哈牡客专线204km-哈尔滨</t>
  </si>
  <si>
    <t>哈尔滨-哈齐客专线62km-肇东-滨洲线149km-杜尔伯特-哈齐客专线74km-齐齐哈尔</t>
  </si>
  <si>
    <t>齐齐哈尔-齐北线63km-富裕-富西线368km-加格达奇</t>
  </si>
  <si>
    <t>加格达奇-富西线475km-漠河</t>
  </si>
  <si>
    <t>满归-牙林线179km-根河</t>
  </si>
  <si>
    <t>海拉尔-滨洲线186km-满洲里</t>
  </si>
  <si>
    <t>翠亨-广珠城际线88km-广州南</t>
  </si>
  <si>
    <t>广州南-广深港高速线50km-虎门</t>
  </si>
  <si>
    <t>广州-广茂线109km-肇庆</t>
  </si>
  <si>
    <t>肇庆-广茂线137km-阳春</t>
  </si>
  <si>
    <t>虎门-广深港高速线50km-广州南</t>
  </si>
  <si>
    <t>广州南-广珠城际线32km-容桂</t>
  </si>
  <si>
    <t>东莞-广九线68km-深圳东</t>
  </si>
  <si>
    <t>深圳东-广九线68km-东莞</t>
  </si>
  <si>
    <t>深圳北-广深港高速线102km-广州南</t>
  </si>
  <si>
    <t>广州南-广深港高速线102km-深圳北</t>
  </si>
  <si>
    <t>深圳北-广深港高速线102km-广州南-贵广客专线815km-龙里北-龙老联络线7km-老罗堡-沪昆线24km-贵阳-渝贵线10km-贵阳北</t>
  </si>
  <si>
    <t>贵阳北-渝贵线10km-贵阳-沪昆线24km-老罗堡-龙老联络线7km-龙里北-贵南线175km-荔波</t>
  </si>
  <si>
    <t>都匀东-贵广客专线74km-龙里北-龙老联络线7km-老罗堡-沪昆线24km-贵阳-渝贵线10km-贵阳北</t>
  </si>
  <si>
    <t>贵阳北-沪昆高速线251km-盘州</t>
  </si>
  <si>
    <t>深圳-广九线76km-东莞</t>
  </si>
  <si>
    <t>深圳东-广九线80km-石滩-广石线70km-广州北-京广线194km-韶关东</t>
  </si>
  <si>
    <t>清远-京广高铁83km-广州南-广深港高速线102km-深圳北</t>
  </si>
  <si>
    <t>深圳北-广深港高速线39km-香港西九龙</t>
  </si>
  <si>
    <t>香港西九龙-广深港高速线55km-光明城-京港高铁赣深段19km-东莞南-莞塘深联络线2km-塘厦所-广九线37km-东莞</t>
  </si>
  <si>
    <t>万宁-海南环岛高铁线东段169km-海口东</t>
  </si>
  <si>
    <t>长白山-沈佳高铁白敦段99km-敦化南-白敦联络线12km-敦化-长珲城际线267km-长春</t>
  </si>
  <si>
    <t>长春-长珲城际线32km-龙嘉</t>
  </si>
  <si>
    <t>楚大线</t>
  </si>
  <si>
    <t>175km</t>
  </si>
  <si>
    <t>56km</t>
  </si>
  <si>
    <t>杭深线</t>
  </si>
  <si>
    <t>498km</t>
  </si>
  <si>
    <t>沪宁高速线</t>
  </si>
  <si>
    <t>京沪线</t>
  </si>
  <si>
    <t>83km</t>
  </si>
  <si>
    <t>广茂线</t>
  </si>
  <si>
    <t>江门线</t>
  </si>
  <si>
    <t>30km</t>
  </si>
  <si>
    <t>85km</t>
  </si>
  <si>
    <t>哈牡客专线</t>
  </si>
  <si>
    <t>哈齐客专线</t>
  </si>
  <si>
    <t>62km</t>
  </si>
  <si>
    <t>齐北线</t>
  </si>
  <si>
    <t>63km</t>
  </si>
  <si>
    <t>富西线</t>
  </si>
  <si>
    <t>牙林线</t>
  </si>
  <si>
    <t>滨洲线</t>
  </si>
  <si>
    <t>广珠城际线</t>
  </si>
  <si>
    <t>渝贵线</t>
  </si>
  <si>
    <t>10km</t>
  </si>
  <si>
    <t>贵广客专线</t>
  </si>
  <si>
    <t>沪昆高速线</t>
  </si>
  <si>
    <t>80km</t>
  </si>
  <si>
    <t>55km</t>
  </si>
  <si>
    <t>海南环岛高铁线东段</t>
  </si>
  <si>
    <t>沈佳高铁白敦段</t>
  </si>
  <si>
    <t>99km</t>
  </si>
  <si>
    <t>长珲城际线</t>
  </si>
  <si>
    <t>深湛线江湛段</t>
  </si>
  <si>
    <t>沪宁高速线/京沪线</t>
  </si>
  <si>
    <t>京广高铁</t>
  </si>
  <si>
    <t>京广高铁</t>
    <phoneticPr fontId="1" type="noConversion"/>
  </si>
  <si>
    <t>707km</t>
  </si>
  <si>
    <t>707km</t>
    <phoneticPr fontId="1" type="noConversion"/>
  </si>
  <si>
    <t>83km</t>
    <phoneticPr fontId="1" type="noConversion"/>
  </si>
  <si>
    <t>广昆线广温段</t>
  </si>
  <si>
    <t>121km</t>
  </si>
  <si>
    <t>平湖联络线</t>
  </si>
  <si>
    <t>8km</t>
  </si>
  <si>
    <t>27km</t>
  </si>
  <si>
    <t>45km</t>
  </si>
  <si>
    <t>149km</t>
  </si>
  <si>
    <t>368km</t>
  </si>
  <si>
    <t>815km</t>
  </si>
  <si>
    <t>沪昆线</t>
  </si>
  <si>
    <t>24km</t>
  </si>
  <si>
    <t>龙老联络线</t>
  </si>
  <si>
    <t>7km</t>
  </si>
  <si>
    <t>广石线</t>
  </si>
  <si>
    <t>70km</t>
  </si>
  <si>
    <t>白敦联络线</t>
  </si>
  <si>
    <t>12km</t>
  </si>
  <si>
    <t>成昆铁路元昆段</t>
  </si>
  <si>
    <t>485km</t>
  </si>
  <si>
    <t>64km</t>
  </si>
  <si>
    <t>京广线</t>
  </si>
  <si>
    <t>194km</t>
  </si>
  <si>
    <t>267km</t>
  </si>
  <si>
    <t>鹰厦线</t>
  </si>
  <si>
    <t>26km</t>
  </si>
  <si>
    <t>贵南线</t>
  </si>
  <si>
    <t>把起点大全和终点大全复制到这</t>
    <phoneticPr fontId="1" type="noConversion"/>
  </si>
  <si>
    <t>线路</t>
    <phoneticPr fontId="1" type="noConversion"/>
  </si>
  <si>
    <t>排序</t>
    <phoneticPr fontId="1" type="noConversion"/>
  </si>
  <si>
    <t>海南环岛高铁线东段</t>
    <phoneticPr fontId="1" type="noConversion"/>
  </si>
  <si>
    <t>京港高铁赣深段</t>
    <phoneticPr fontId="1" type="noConversion"/>
  </si>
  <si>
    <t>东莞</t>
    <phoneticPr fontId="1" type="noConversion"/>
  </si>
  <si>
    <t>深圳北</t>
    <phoneticPr fontId="1" type="noConversion"/>
  </si>
  <si>
    <t>D7593</t>
    <phoneticPr fontId="1" type="noConversion"/>
  </si>
  <si>
    <t>08车16A</t>
    <phoneticPr fontId="1" type="noConversion"/>
  </si>
  <si>
    <t>G6551</t>
    <phoneticPr fontId="1" type="noConversion"/>
  </si>
  <si>
    <t>CR300AF</t>
    <phoneticPr fontId="1" type="noConversion"/>
  </si>
  <si>
    <t>08车01C</t>
    <phoneticPr fontId="1" type="noConversion"/>
  </si>
  <si>
    <t>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</si>
</sst>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h:mm;@"/>
    <numFmt numFmtId="177" formatCode="0.00_ "/>
    <numFmt numFmtId="178" formatCode="0.00_);[Red]\(0.00\)"/>
    <numFmt numFmtId="179" formatCode="h&quot;时&quot;mm&quot;分&quot;;@"/>
    <numFmt numFmtId="180" formatCode="[h]&quot;时&quot;mm&quot;分&quot;"/>
    <numFmt numFmtId="181" formatCode="0&quot;km&quot;"/>
  </numFmts>
  <fonts count="2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i/>
      <sz val="8"/>
      <color theme="1"/>
      <name val="等线"/>
      <family val="3"/>
      <charset val="134"/>
      <scheme val="minor"/>
    </font>
    <font>
      <i/>
      <sz val="6"/>
      <color theme="1"/>
      <name val="等线"/>
      <family val="3"/>
      <charset val="134"/>
      <scheme val="minor"/>
    </font>
    <font>
      <i/>
      <sz val="9"/>
      <color theme="1"/>
      <name val="等线"/>
      <family val="3"/>
      <charset val="134"/>
      <scheme val="minor"/>
    </font>
    <font>
      <sz val="9"/>
      <color theme="0" tint="-0.34998626667073579"/>
      <name val="等线"/>
      <family val="2"/>
      <scheme val="minor"/>
    </font>
    <font>
      <sz val="9"/>
      <color theme="0" tint="-0.34998626667073579"/>
      <name val="等线"/>
      <family val="3"/>
      <charset val="134"/>
      <scheme val="minor"/>
    </font>
    <font>
      <sz val="9"/>
      <color theme="1"/>
      <name val="黑体"/>
      <family val="3"/>
      <charset val="134"/>
    </font>
    <font>
      <b/>
      <sz val="9"/>
      <color theme="1"/>
      <name val="Times New Roman"/>
      <family val="1"/>
    </font>
    <font>
      <sz val="9"/>
      <name val="等线"/>
      <family val="2"/>
      <scheme val="minor"/>
    </font>
    <font>
      <b/>
      <sz val="11"/>
      <name val="宋体"/>
      <family val="3"/>
      <charset val="134"/>
    </font>
    <font>
      <sz val="10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8"/>
      <color theme="1"/>
      <name val="等线"/>
      <family val="2"/>
      <scheme val="minor"/>
    </font>
    <font>
      <b/>
      <sz val="14"/>
      <name val="楷体"/>
      <family val="3"/>
      <charset val="134"/>
    </font>
    <font>
      <sz val="14"/>
      <color theme="1"/>
      <name val="楷体"/>
      <family val="3"/>
      <charset val="134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7B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0ECD2"/>
        <bgColor indexed="64"/>
      </patternFill>
    </fill>
    <fill>
      <patternFill patternType="solid">
        <fgColor rgb="FFFBE8D7"/>
        <bgColor indexed="64"/>
      </patternFill>
    </fill>
    <fill>
      <patternFill patternType="solid">
        <fgColor rgb="FFFAD6C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5C2FE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/>
      <bottom style="thin">
        <color auto="1"/>
      </bottom>
      <diagonal/>
    </border>
    <border>
      <left/>
      <right style="slantDashDot">
        <color auto="1"/>
      </right>
      <top/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 style="slantDashDot">
        <color auto="1"/>
      </right>
      <top style="thin">
        <color auto="1"/>
      </top>
      <bottom/>
      <diagonal/>
    </border>
    <border>
      <left/>
      <right/>
      <top style="slantDashDot">
        <color auto="1"/>
      </top>
      <bottom style="thin">
        <color auto="1"/>
      </bottom>
      <diagonal/>
    </border>
    <border>
      <left style="slantDashDot">
        <color auto="1"/>
      </left>
      <right/>
      <top style="slantDashDot">
        <color auto="1"/>
      </top>
      <bottom style="thin">
        <color auto="1"/>
      </bottom>
      <diagonal/>
    </border>
    <border>
      <left/>
      <right style="slantDashDot">
        <color auto="1"/>
      </right>
      <top style="slantDashDot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Dashed">
        <color auto="1"/>
      </left>
      <right/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mediumDashDot">
        <color auto="1"/>
      </left>
      <right/>
      <top/>
      <bottom/>
      <diagonal/>
    </border>
    <border>
      <left style="mediumDashed">
        <color auto="1"/>
      </left>
      <right/>
      <top style="thin">
        <color auto="1"/>
      </top>
      <bottom style="thin">
        <color auto="1"/>
      </bottom>
      <diagonal/>
    </border>
    <border>
      <left style="mediumDashed">
        <color auto="1"/>
      </left>
      <right/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mediumDash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mediumDashed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30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/>
    </xf>
    <xf numFmtId="178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8" borderId="0" xfId="0" applyFill="1"/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6" borderId="7" xfId="0" applyFill="1" applyBorder="1" applyAlignment="1">
      <alignment horizontal="center"/>
    </xf>
    <xf numFmtId="177" fontId="0" fillId="0" borderId="7" xfId="0" applyNumberFormat="1" applyBorder="1" applyAlignment="1">
      <alignment horizontal="center"/>
    </xf>
    <xf numFmtId="178" fontId="0" fillId="0" borderId="7" xfId="0" applyNumberFormat="1" applyBorder="1" applyAlignment="1">
      <alignment horizontal="center"/>
    </xf>
    <xf numFmtId="176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6" borderId="8" xfId="0" applyFill="1" applyBorder="1" applyAlignment="1">
      <alignment horizontal="center"/>
    </xf>
    <xf numFmtId="177" fontId="0" fillId="0" borderId="8" xfId="0" applyNumberFormat="1" applyBorder="1" applyAlignment="1">
      <alignment horizontal="center"/>
    </xf>
    <xf numFmtId="178" fontId="0" fillId="0" borderId="8" xfId="0" applyNumberFormat="1" applyBorder="1" applyAlignment="1">
      <alignment horizontal="center"/>
    </xf>
    <xf numFmtId="176" fontId="0" fillId="0" borderId="8" xfId="0" applyNumberFormat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177" fontId="0" fillId="0" borderId="9" xfId="0" applyNumberFormat="1" applyBorder="1" applyAlignment="1">
      <alignment horizontal="center"/>
    </xf>
    <xf numFmtId="178" fontId="0" fillId="0" borderId="9" xfId="0" applyNumberFormat="1" applyBorder="1" applyAlignment="1">
      <alignment horizontal="center"/>
    </xf>
    <xf numFmtId="176" fontId="0" fillId="0" borderId="9" xfId="0" applyNumberFormat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12" borderId="9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13" borderId="9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9" fontId="0" fillId="0" borderId="11" xfId="0" applyNumberFormat="1" applyBorder="1" applyAlignment="1">
      <alignment horizontal="center"/>
    </xf>
    <xf numFmtId="180" fontId="0" fillId="0" borderId="11" xfId="0" applyNumberFormat="1" applyBorder="1" applyAlignment="1">
      <alignment horizontal="center"/>
    </xf>
    <xf numFmtId="180" fontId="0" fillId="0" borderId="13" xfId="0" applyNumberFormat="1" applyBorder="1" applyAlignment="1">
      <alignment horizontal="center"/>
    </xf>
    <xf numFmtId="180" fontId="0" fillId="0" borderId="15" xfId="0" applyNumberFormat="1" applyBorder="1" applyAlignment="1">
      <alignment horizontal="center"/>
    </xf>
    <xf numFmtId="180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6" borderId="18" xfId="0" applyFill="1" applyBorder="1" applyAlignment="1">
      <alignment horizontal="center"/>
    </xf>
    <xf numFmtId="177" fontId="0" fillId="0" borderId="18" xfId="0" applyNumberFormat="1" applyBorder="1" applyAlignment="1">
      <alignment horizontal="center"/>
    </xf>
    <xf numFmtId="178" fontId="0" fillId="0" borderId="18" xfId="0" applyNumberFormat="1" applyBorder="1" applyAlignment="1">
      <alignment horizontal="center"/>
    </xf>
    <xf numFmtId="176" fontId="0" fillId="0" borderId="18" xfId="0" applyNumberFormat="1" applyBorder="1" applyAlignment="1">
      <alignment horizontal="center"/>
    </xf>
    <xf numFmtId="180" fontId="0" fillId="0" borderId="20" xfId="0" applyNumberFormat="1" applyBorder="1" applyAlignment="1">
      <alignment horizontal="center"/>
    </xf>
    <xf numFmtId="0" fontId="0" fillId="15" borderId="1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9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14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180" fontId="7" fillId="0" borderId="0" xfId="0" applyNumberFormat="1" applyFont="1"/>
    <xf numFmtId="0" fontId="8" fillId="0" borderId="0" xfId="0" applyFont="1"/>
    <xf numFmtId="180" fontId="7" fillId="0" borderId="0" xfId="0" applyNumberFormat="1" applyFont="1" applyAlignment="1">
      <alignment horizontal="center" vertical="center"/>
    </xf>
    <xf numFmtId="0" fontId="9" fillId="0" borderId="0" xfId="0" applyFont="1"/>
    <xf numFmtId="180" fontId="10" fillId="0" borderId="0" xfId="0" applyNumberFormat="1" applyFont="1"/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176" fontId="11" fillId="0" borderId="0" xfId="0" applyNumberFormat="1" applyFont="1" applyAlignment="1">
      <alignment horizontal="center"/>
    </xf>
    <xf numFmtId="0" fontId="10" fillId="0" borderId="0" xfId="0" applyNumberFormat="1" applyFont="1"/>
    <xf numFmtId="0" fontId="7" fillId="0" borderId="0" xfId="0" applyNumberFormat="1" applyFont="1"/>
    <xf numFmtId="0" fontId="0" fillId="0" borderId="23" xfId="0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5" fillId="12" borderId="23" xfId="0" applyFont="1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23" xfId="0" applyBorder="1"/>
    <xf numFmtId="0" fontId="0" fillId="6" borderId="0" xfId="0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7" borderId="0" xfId="0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14" borderId="23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7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2" borderId="16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178" fontId="0" fillId="0" borderId="0" xfId="0" applyNumberFormat="1" applyBorder="1" applyAlignment="1">
      <alignment horizontal="center"/>
    </xf>
    <xf numFmtId="0" fontId="0" fillId="17" borderId="16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17" borderId="14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178" fontId="10" fillId="0" borderId="0" xfId="0" applyNumberFormat="1" applyFont="1"/>
    <xf numFmtId="178" fontId="7" fillId="0" borderId="0" xfId="0" applyNumberFormat="1" applyFont="1"/>
    <xf numFmtId="177" fontId="10" fillId="0" borderId="0" xfId="0" applyNumberFormat="1" applyFont="1"/>
    <xf numFmtId="177" fontId="7" fillId="0" borderId="0" xfId="0" applyNumberFormat="1" applyFont="1"/>
    <xf numFmtId="177" fontId="10" fillId="0" borderId="0" xfId="0" applyNumberFormat="1" applyFont="1" applyAlignment="1">
      <alignment horizontal="center" vertical="center"/>
    </xf>
    <xf numFmtId="0" fontId="10" fillId="0" borderId="24" xfId="0" applyNumberFormat="1" applyFont="1" applyBorder="1"/>
    <xf numFmtId="180" fontId="14" fillId="0" borderId="0" xfId="0" applyNumberFormat="1" applyFont="1"/>
    <xf numFmtId="0" fontId="15" fillId="0" borderId="24" xfId="0" applyNumberFormat="1" applyFont="1" applyBorder="1"/>
    <xf numFmtId="180" fontId="16" fillId="0" borderId="0" xfId="0" applyNumberFormat="1" applyFont="1" applyAlignment="1">
      <alignment horizontal="center" vertical="center"/>
    </xf>
    <xf numFmtId="0" fontId="17" fillId="0" borderId="25" xfId="0" applyNumberFormat="1" applyFont="1" applyBorder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78" fontId="17" fillId="0" borderId="0" xfId="0" applyNumberFormat="1" applyFont="1"/>
    <xf numFmtId="179" fontId="0" fillId="0" borderId="0" xfId="0" applyNumberFormat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18" borderId="8" xfId="0" applyFill="1" applyBorder="1" applyAlignment="1">
      <alignment horizontal="center"/>
    </xf>
    <xf numFmtId="177" fontId="0" fillId="0" borderId="0" xfId="0" applyNumberFormat="1" applyBorder="1" applyAlignment="1">
      <alignment horizontal="center"/>
    </xf>
    <xf numFmtId="0" fontId="0" fillId="10" borderId="0" xfId="0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76" fontId="0" fillId="0" borderId="0" xfId="0" applyNumberFormat="1" applyBorder="1" applyAlignment="1">
      <alignment horizontal="center"/>
    </xf>
    <xf numFmtId="0" fontId="0" fillId="6" borderId="0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0" fontId="17" fillId="0" borderId="2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9" borderId="0" xfId="0" applyFill="1" applyAlignment="1">
      <alignment horizontal="center"/>
    </xf>
    <xf numFmtId="0" fontId="0" fillId="19" borderId="0" xfId="0" applyFill="1" applyAlignment="1">
      <alignment horizontal="center" vertical="center"/>
    </xf>
    <xf numFmtId="0" fontId="0" fillId="19" borderId="26" xfId="0" applyFill="1" applyBorder="1" applyAlignment="1">
      <alignment horizontal="center"/>
    </xf>
    <xf numFmtId="0" fontId="0" fillId="19" borderId="23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180" fontId="18" fillId="0" borderId="0" xfId="0" applyNumberFormat="1" applyFont="1"/>
    <xf numFmtId="0" fontId="1" fillId="0" borderId="24" xfId="0" applyNumberFormat="1" applyFont="1" applyBorder="1"/>
    <xf numFmtId="0" fontId="0" fillId="0" borderId="23" xfId="0" applyBorder="1" applyAlignment="1">
      <alignment horizontal="center"/>
    </xf>
    <xf numFmtId="0" fontId="19" fillId="0" borderId="5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9" fillId="0" borderId="0" xfId="0" applyFont="1" applyAlignment="1">
      <alignment horizontal="center" vertical="top"/>
    </xf>
    <xf numFmtId="0" fontId="7" fillId="0" borderId="0" xfId="0" applyFont="1" applyAlignment="1">
      <alignment horizontal="center" shrinkToFit="1"/>
    </xf>
    <xf numFmtId="0" fontId="7" fillId="0" borderId="18" xfId="0" applyFont="1" applyBorder="1" applyAlignment="1">
      <alignment horizontal="center" shrinkToFit="1"/>
    </xf>
    <xf numFmtId="0" fontId="10" fillId="0" borderId="8" xfId="0" applyFont="1" applyBorder="1" applyAlignment="1">
      <alignment horizontal="center" shrinkToFit="1"/>
    </xf>
    <xf numFmtId="0" fontId="10" fillId="0" borderId="9" xfId="0" applyFont="1" applyBorder="1" applyAlignment="1">
      <alignment horizontal="center" shrinkToFit="1"/>
    </xf>
    <xf numFmtId="0" fontId="10" fillId="0" borderId="7" xfId="0" applyFont="1" applyBorder="1" applyAlignment="1">
      <alignment horizontal="center" shrinkToFit="1"/>
    </xf>
    <xf numFmtId="0" fontId="10" fillId="0" borderId="0" xfId="0" applyFont="1" applyBorder="1" applyAlignment="1">
      <alignment horizontal="center" shrinkToFit="1"/>
    </xf>
    <xf numFmtId="0" fontId="0" fillId="0" borderId="0" xfId="0" applyFont="1" applyAlignment="1">
      <alignment horizontal="center" shrinkToFit="1"/>
    </xf>
    <xf numFmtId="0" fontId="19" fillId="0" borderId="0" xfId="0" applyFont="1" applyBorder="1" applyAlignment="1">
      <alignment horizontal="center" vertical="top"/>
    </xf>
    <xf numFmtId="0" fontId="19" fillId="0" borderId="5" xfId="0" applyFont="1" applyBorder="1" applyAlignment="1">
      <alignment horizontal="center" vertical="top" shrinkToFit="1"/>
    </xf>
    <xf numFmtId="0" fontId="19" fillId="0" borderId="0" xfId="0" applyFont="1" applyAlignment="1">
      <alignment horizontal="center" vertical="top" shrinkToFit="1"/>
    </xf>
    <xf numFmtId="0" fontId="0" fillId="0" borderId="0" xfId="0" applyAlignment="1">
      <alignment shrinkToFit="1"/>
    </xf>
    <xf numFmtId="0" fontId="0" fillId="0" borderId="0" xfId="0" applyAlignment="1">
      <alignment horizontal="center" shrinkToFit="1"/>
    </xf>
    <xf numFmtId="0" fontId="21" fillId="0" borderId="0" xfId="0" applyFont="1" applyAlignment="1">
      <alignment horizontal="center"/>
    </xf>
    <xf numFmtId="0" fontId="0" fillId="20" borderId="0" xfId="0" applyFill="1" applyAlignment="1">
      <alignment horizontal="center" shrinkToFit="1"/>
    </xf>
    <xf numFmtId="0" fontId="0" fillId="5" borderId="0" xfId="0" applyFill="1" applyAlignment="1">
      <alignment horizontal="center" shrinkToFit="1"/>
    </xf>
    <xf numFmtId="0" fontId="0" fillId="0" borderId="0" xfId="0" applyFill="1" applyAlignment="1">
      <alignment horizontal="center" shrinkToFit="1"/>
    </xf>
    <xf numFmtId="0" fontId="0" fillId="0" borderId="0" xfId="0" applyFill="1" applyAlignment="1">
      <alignment horizontal="center"/>
    </xf>
    <xf numFmtId="0" fontId="19" fillId="2" borderId="5" xfId="0" applyFont="1" applyFill="1" applyBorder="1" applyAlignment="1">
      <alignment horizontal="center" vertical="top"/>
    </xf>
    <xf numFmtId="0" fontId="19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/>
    </xf>
    <xf numFmtId="0" fontId="23" fillId="0" borderId="5" xfId="0" applyFont="1" applyBorder="1" applyAlignment="1">
      <alignment horizontal="center" vertical="top" shrinkToFit="1"/>
    </xf>
    <xf numFmtId="0" fontId="23" fillId="0" borderId="0" xfId="0" applyFont="1" applyAlignment="1">
      <alignment horizontal="center" vertical="top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shrinkToFit="1"/>
    </xf>
    <xf numFmtId="0" fontId="7" fillId="0" borderId="0" xfId="0" applyFont="1"/>
    <xf numFmtId="0" fontId="12" fillId="0" borderId="0" xfId="0" applyNumberFormat="1" applyFont="1" applyFill="1" applyAlignment="1">
      <alignment horizontal="center"/>
    </xf>
    <xf numFmtId="0" fontId="20" fillId="0" borderId="23" xfId="0" applyFont="1" applyBorder="1" applyAlignment="1">
      <alignment horizontal="center" vertical="center" shrinkToFit="1"/>
    </xf>
    <xf numFmtId="181" fontId="7" fillId="0" borderId="0" xfId="0" applyNumberFormat="1" applyFont="1"/>
    <xf numFmtId="0" fontId="0" fillId="0" borderId="0" xfId="0" applyFill="1"/>
    <xf numFmtId="0" fontId="7" fillId="0" borderId="0" xfId="0" applyFont="1" applyAlignment="1">
      <alignment shrinkToFit="1"/>
    </xf>
    <xf numFmtId="181" fontId="20" fillId="0" borderId="0" xfId="0" applyNumberFormat="1" applyFont="1"/>
    <xf numFmtId="181" fontId="10" fillId="0" borderId="0" xfId="0" applyNumberFormat="1" applyFont="1"/>
    <xf numFmtId="181" fontId="10" fillId="0" borderId="24" xfId="0" applyNumberFormat="1" applyFont="1" applyBorder="1"/>
    <xf numFmtId="181" fontId="15" fillId="0" borderId="24" xfId="0" applyNumberFormat="1" applyFont="1" applyBorder="1"/>
    <xf numFmtId="181" fontId="1" fillId="0" borderId="24" xfId="0" applyNumberFormat="1" applyFont="1" applyBorder="1"/>
    <xf numFmtId="181" fontId="17" fillId="0" borderId="25" xfId="0" applyNumberFormat="1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/>
    <xf numFmtId="180" fontId="7" fillId="0" borderId="0" xfId="0" applyNumberFormat="1" applyFont="1" applyBorder="1"/>
    <xf numFmtId="177" fontId="10" fillId="0" borderId="0" xfId="0" applyNumberFormat="1" applyFont="1" applyBorder="1" applyAlignment="1">
      <alignment horizontal="center" vertical="center"/>
    </xf>
    <xf numFmtId="178" fontId="10" fillId="0" borderId="0" xfId="0" applyNumberFormat="1" applyFont="1" applyBorder="1"/>
    <xf numFmtId="0" fontId="0" fillId="0" borderId="9" xfId="0" applyBorder="1"/>
    <xf numFmtId="180" fontId="14" fillId="0" borderId="9" xfId="0" applyNumberFormat="1" applyFont="1" applyBorder="1"/>
    <xf numFmtId="181" fontId="15" fillId="0" borderId="29" xfId="0" applyNumberFormat="1" applyFont="1" applyBorder="1"/>
    <xf numFmtId="0" fontId="15" fillId="0" borderId="29" xfId="0" applyNumberFormat="1" applyFont="1" applyBorder="1"/>
    <xf numFmtId="177" fontId="10" fillId="0" borderId="9" xfId="0" applyNumberFormat="1" applyFont="1" applyBorder="1" applyAlignment="1">
      <alignment horizontal="center" vertical="center"/>
    </xf>
    <xf numFmtId="178" fontId="10" fillId="0" borderId="9" xfId="0" applyNumberFormat="1" applyFont="1" applyBorder="1"/>
    <xf numFmtId="0" fontId="0" fillId="0" borderId="7" xfId="0" applyBorder="1"/>
    <xf numFmtId="180" fontId="14" fillId="0" borderId="7" xfId="0" applyNumberFormat="1" applyFont="1" applyBorder="1"/>
    <xf numFmtId="181" fontId="15" fillId="0" borderId="32" xfId="0" applyNumberFormat="1" applyFont="1" applyBorder="1"/>
    <xf numFmtId="0" fontId="15" fillId="0" borderId="32" xfId="0" applyNumberFormat="1" applyFont="1" applyBorder="1"/>
    <xf numFmtId="177" fontId="10" fillId="0" borderId="7" xfId="0" applyNumberFormat="1" applyFont="1" applyBorder="1" applyAlignment="1">
      <alignment horizontal="center" vertical="center"/>
    </xf>
    <xf numFmtId="178" fontId="10" fillId="0" borderId="7" xfId="0" applyNumberFormat="1" applyFont="1" applyBorder="1"/>
    <xf numFmtId="0" fontId="0" fillId="11" borderId="9" xfId="0" applyFill="1" applyBorder="1" applyAlignment="1">
      <alignment horizontal="center" vertical="center"/>
    </xf>
    <xf numFmtId="180" fontId="7" fillId="0" borderId="7" xfId="0" applyNumberFormat="1" applyFont="1" applyBorder="1"/>
    <xf numFmtId="181" fontId="10" fillId="0" borderId="32" xfId="0" applyNumberFormat="1" applyFont="1" applyBorder="1"/>
    <xf numFmtId="0" fontId="10" fillId="0" borderId="32" xfId="0" applyNumberFormat="1" applyFont="1" applyBorder="1"/>
    <xf numFmtId="0" fontId="0" fillId="10" borderId="27" xfId="0" applyFill="1" applyBorder="1" applyAlignment="1">
      <alignment horizontal="center"/>
    </xf>
    <xf numFmtId="0" fontId="0" fillId="0" borderId="8" xfId="0" applyBorder="1"/>
    <xf numFmtId="180" fontId="7" fillId="0" borderId="8" xfId="0" applyNumberFormat="1" applyFont="1" applyBorder="1"/>
    <xf numFmtId="180" fontId="16" fillId="0" borderId="8" xfId="0" applyNumberFormat="1" applyFont="1" applyBorder="1" applyAlignment="1">
      <alignment horizontal="center" vertical="center"/>
    </xf>
    <xf numFmtId="181" fontId="10" fillId="0" borderId="34" xfId="0" applyNumberFormat="1" applyFont="1" applyBorder="1"/>
    <xf numFmtId="181" fontId="17" fillId="0" borderId="35" xfId="0" applyNumberFormat="1" applyFont="1" applyBorder="1" applyAlignment="1">
      <alignment horizontal="center" vertical="center"/>
    </xf>
    <xf numFmtId="0" fontId="10" fillId="0" borderId="34" xfId="0" applyNumberFormat="1" applyFont="1" applyBorder="1"/>
    <xf numFmtId="0" fontId="17" fillId="0" borderId="35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177" fontId="17" fillId="0" borderId="8" xfId="0" applyNumberFormat="1" applyFont="1" applyBorder="1" applyAlignment="1">
      <alignment horizontal="center" vertical="center"/>
    </xf>
    <xf numFmtId="178" fontId="10" fillId="0" borderId="8" xfId="0" applyNumberFormat="1" applyFont="1" applyBorder="1"/>
    <xf numFmtId="178" fontId="17" fillId="0" borderId="8" xfId="0" applyNumberFormat="1" applyFont="1" applyBorder="1"/>
    <xf numFmtId="0" fontId="0" fillId="15" borderId="27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8" borderId="27" xfId="0" applyFill="1" applyBorder="1" applyAlignment="1">
      <alignment horizontal="center"/>
    </xf>
    <xf numFmtId="0" fontId="0" fillId="18" borderId="8" xfId="0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0" fillId="8" borderId="37" xfId="0" applyFill="1" applyBorder="1"/>
    <xf numFmtId="180" fontId="7" fillId="8" borderId="37" xfId="0" applyNumberFormat="1" applyFont="1" applyFill="1" applyBorder="1"/>
    <xf numFmtId="181" fontId="13" fillId="8" borderId="37" xfId="0" applyNumberFormat="1" applyFont="1" applyFill="1" applyBorder="1" applyAlignment="1">
      <alignment horizontal="center"/>
    </xf>
    <xf numFmtId="0" fontId="13" fillId="8" borderId="37" xfId="0" applyNumberFormat="1" applyFont="1" applyFill="1" applyBorder="1" applyAlignment="1">
      <alignment horizontal="center"/>
    </xf>
    <xf numFmtId="0" fontId="12" fillId="8" borderId="37" xfId="0" applyNumberFormat="1" applyFont="1" applyFill="1" applyBorder="1" applyAlignment="1">
      <alignment horizontal="center"/>
    </xf>
    <xf numFmtId="0" fontId="0" fillId="8" borderId="36" xfId="0" applyFill="1" applyBorder="1"/>
    <xf numFmtId="0" fontId="22" fillId="8" borderId="37" xfId="0" applyFont="1" applyFill="1" applyBorder="1"/>
    <xf numFmtId="0" fontId="20" fillId="0" borderId="0" xfId="0" applyFont="1" applyBorder="1" applyAlignment="1">
      <alignment horizontal="center" vertical="center" shrinkToFit="1"/>
    </xf>
    <xf numFmtId="0" fontId="0" fillId="8" borderId="37" xfId="0" applyFill="1" applyBorder="1" applyAlignment="1">
      <alignment horizontal="center" vertical="center"/>
    </xf>
    <xf numFmtId="180" fontId="7" fillId="8" borderId="37" xfId="0" applyNumberFormat="1" applyFont="1" applyFill="1" applyBorder="1" applyAlignment="1">
      <alignment horizontal="center" vertical="center"/>
    </xf>
    <xf numFmtId="0" fontId="8" fillId="8" borderId="37" xfId="0" applyFont="1" applyFill="1" applyBorder="1"/>
    <xf numFmtId="177" fontId="12" fillId="8" borderId="37" xfId="0" applyNumberFormat="1" applyFont="1" applyFill="1" applyBorder="1" applyAlignment="1">
      <alignment horizontal="center"/>
    </xf>
    <xf numFmtId="0" fontId="0" fillId="8" borderId="37" xfId="0" applyFont="1" applyFill="1" applyBorder="1" applyAlignment="1">
      <alignment shrinkToFit="1"/>
    </xf>
    <xf numFmtId="0" fontId="7" fillId="8" borderId="37" xfId="0" applyFont="1" applyFill="1" applyBorder="1" applyAlignment="1">
      <alignment shrinkToFit="1"/>
    </xf>
    <xf numFmtId="178" fontId="1" fillId="0" borderId="0" xfId="0" applyNumberFormat="1" applyFont="1"/>
    <xf numFmtId="17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81" fontId="17" fillId="0" borderId="30" xfId="0" applyNumberFormat="1" applyFont="1" applyBorder="1" applyAlignment="1">
      <alignment horizontal="center" vertical="center"/>
    </xf>
    <xf numFmtId="181" fontId="17" fillId="0" borderId="25" xfId="0" applyNumberFormat="1" applyFont="1" applyBorder="1" applyAlignment="1">
      <alignment horizontal="center" vertical="center"/>
    </xf>
    <xf numFmtId="181" fontId="17" fillId="0" borderId="33" xfId="0" applyNumberFormat="1" applyFont="1" applyBorder="1" applyAlignment="1">
      <alignment horizontal="center" vertical="center"/>
    </xf>
    <xf numFmtId="0" fontId="17" fillId="0" borderId="25" xfId="0" applyNumberFormat="1" applyFont="1" applyBorder="1" applyAlignment="1">
      <alignment horizontal="center" vertical="center"/>
    </xf>
    <xf numFmtId="0" fontId="17" fillId="0" borderId="30" xfId="0" applyNumberFormat="1" applyFont="1" applyBorder="1" applyAlignment="1">
      <alignment horizontal="center" vertical="center"/>
    </xf>
    <xf numFmtId="0" fontId="17" fillId="0" borderId="33" xfId="0" applyNumberFormat="1" applyFont="1" applyBorder="1" applyAlignment="1">
      <alignment horizontal="center" vertical="center"/>
    </xf>
    <xf numFmtId="0" fontId="13" fillId="8" borderId="37" xfId="0" applyNumberFormat="1" applyFont="1" applyFill="1" applyBorder="1" applyAlignment="1">
      <alignment horizontal="center"/>
    </xf>
    <xf numFmtId="0" fontId="0" fillId="16" borderId="2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180" fontId="16" fillId="0" borderId="9" xfId="0" applyNumberFormat="1" applyFont="1" applyBorder="1" applyAlignment="1">
      <alignment horizontal="center" vertical="center"/>
    </xf>
    <xf numFmtId="180" fontId="16" fillId="0" borderId="0" xfId="0" applyNumberFormat="1" applyFont="1" applyBorder="1" applyAlignment="1">
      <alignment horizontal="center" vertical="center"/>
    </xf>
    <xf numFmtId="180" fontId="16" fillId="0" borderId="7" xfId="0" applyNumberFormat="1" applyFont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1" fillId="8" borderId="37" xfId="0" applyNumberFormat="1" applyFont="1" applyFill="1" applyBorder="1" applyAlignment="1">
      <alignment horizontal="center"/>
    </xf>
    <xf numFmtId="177" fontId="17" fillId="0" borderId="0" xfId="0" applyNumberFormat="1" applyFont="1" applyAlignment="1">
      <alignment horizontal="center" vertical="center"/>
    </xf>
    <xf numFmtId="177" fontId="17" fillId="0" borderId="9" xfId="0" applyNumberFormat="1" applyFont="1" applyBorder="1" applyAlignment="1">
      <alignment horizontal="center" vertical="center"/>
    </xf>
    <xf numFmtId="177" fontId="17" fillId="0" borderId="0" xfId="0" applyNumberFormat="1" applyFont="1" applyBorder="1" applyAlignment="1">
      <alignment horizontal="center" vertical="center"/>
    </xf>
    <xf numFmtId="177" fontId="17" fillId="0" borderId="7" xfId="0" applyNumberFormat="1" applyFont="1" applyBorder="1" applyAlignment="1">
      <alignment horizontal="center" vertical="center"/>
    </xf>
    <xf numFmtId="178" fontId="17" fillId="0" borderId="9" xfId="0" applyNumberFormat="1" applyFont="1" applyBorder="1" applyAlignment="1">
      <alignment horizontal="center" vertical="center"/>
    </xf>
    <xf numFmtId="178" fontId="17" fillId="0" borderId="0" xfId="0" applyNumberFormat="1" applyFont="1" applyBorder="1" applyAlignment="1">
      <alignment horizontal="center" vertical="center"/>
    </xf>
    <xf numFmtId="178" fontId="17" fillId="0" borderId="7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DCD"/>
      <color rgb="FFFFBDBD"/>
      <color rgb="FFFF9393"/>
      <color rgb="FFD5C2FE"/>
      <color rgb="FFFAD6C2"/>
      <color rgb="FFFBE8D7"/>
      <color rgb="FFD0ECD2"/>
      <color rgb="FFF1E7D9"/>
      <color rgb="FFECECD4"/>
      <color rgb="FFEAE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357292921533368E-2"/>
          <c:y val="3.1995346131471786E-2"/>
          <c:w val="0.9653278512026352"/>
          <c:h val="0.9005285988466101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all!$C$3:$C$71</c:f>
              <c:numCache>
                <c:formatCode>m/d/yyyy</c:formatCode>
                <c:ptCount val="69"/>
                <c:pt idx="0">
                  <c:v>44734</c:v>
                </c:pt>
                <c:pt idx="1">
                  <c:v>44774</c:v>
                </c:pt>
                <c:pt idx="2">
                  <c:v>44777</c:v>
                </c:pt>
                <c:pt idx="3">
                  <c:v>44788</c:v>
                </c:pt>
                <c:pt idx="4">
                  <c:v>44788</c:v>
                </c:pt>
                <c:pt idx="5">
                  <c:v>44835</c:v>
                </c:pt>
                <c:pt idx="6">
                  <c:v>44841</c:v>
                </c:pt>
                <c:pt idx="7">
                  <c:v>44907</c:v>
                </c:pt>
                <c:pt idx="8">
                  <c:v>44965</c:v>
                </c:pt>
                <c:pt idx="9">
                  <c:v>45016</c:v>
                </c:pt>
                <c:pt idx="10">
                  <c:v>45045</c:v>
                </c:pt>
                <c:pt idx="11">
                  <c:v>45049</c:v>
                </c:pt>
                <c:pt idx="12">
                  <c:v>45102</c:v>
                </c:pt>
                <c:pt idx="13">
                  <c:v>45104</c:v>
                </c:pt>
                <c:pt idx="14">
                  <c:v>45106</c:v>
                </c:pt>
                <c:pt idx="15">
                  <c:v>45107</c:v>
                </c:pt>
                <c:pt idx="16">
                  <c:v>45107</c:v>
                </c:pt>
                <c:pt idx="17">
                  <c:v>45121</c:v>
                </c:pt>
                <c:pt idx="18">
                  <c:v>45123</c:v>
                </c:pt>
                <c:pt idx="19">
                  <c:v>45131</c:v>
                </c:pt>
                <c:pt idx="20">
                  <c:v>45133</c:v>
                </c:pt>
                <c:pt idx="21">
                  <c:v>45133</c:v>
                </c:pt>
                <c:pt idx="22">
                  <c:v>45156</c:v>
                </c:pt>
                <c:pt idx="23">
                  <c:v>45156</c:v>
                </c:pt>
                <c:pt idx="24">
                  <c:v>45156</c:v>
                </c:pt>
                <c:pt idx="25">
                  <c:v>45163</c:v>
                </c:pt>
                <c:pt idx="26">
                  <c:v>45184</c:v>
                </c:pt>
                <c:pt idx="27">
                  <c:v>45186</c:v>
                </c:pt>
                <c:pt idx="28">
                  <c:v>45197</c:v>
                </c:pt>
                <c:pt idx="29">
                  <c:v>45203</c:v>
                </c:pt>
                <c:pt idx="30">
                  <c:v>45203</c:v>
                </c:pt>
                <c:pt idx="31">
                  <c:v>45203</c:v>
                </c:pt>
                <c:pt idx="32">
                  <c:v>45203</c:v>
                </c:pt>
                <c:pt idx="33">
                  <c:v>45299</c:v>
                </c:pt>
                <c:pt idx="34">
                  <c:v>45302</c:v>
                </c:pt>
                <c:pt idx="35">
                  <c:v>45302</c:v>
                </c:pt>
                <c:pt idx="36">
                  <c:v>45303</c:v>
                </c:pt>
                <c:pt idx="37">
                  <c:v>45306</c:v>
                </c:pt>
                <c:pt idx="38">
                  <c:v>45307</c:v>
                </c:pt>
                <c:pt idx="39">
                  <c:v>45311</c:v>
                </c:pt>
                <c:pt idx="40">
                  <c:v>45318</c:v>
                </c:pt>
                <c:pt idx="41">
                  <c:v>45318</c:v>
                </c:pt>
                <c:pt idx="42">
                  <c:v>45321</c:v>
                </c:pt>
                <c:pt idx="43">
                  <c:v>45321</c:v>
                </c:pt>
                <c:pt idx="44">
                  <c:v>45351</c:v>
                </c:pt>
                <c:pt idx="45">
                  <c:v>45351</c:v>
                </c:pt>
                <c:pt idx="46">
                  <c:v>45389</c:v>
                </c:pt>
                <c:pt idx="47">
                  <c:v>45414</c:v>
                </c:pt>
                <c:pt idx="48">
                  <c:v>45438</c:v>
                </c:pt>
                <c:pt idx="49">
                  <c:v>45501</c:v>
                </c:pt>
                <c:pt idx="50">
                  <c:v>45501</c:v>
                </c:pt>
                <c:pt idx="51">
                  <c:v>45508</c:v>
                </c:pt>
                <c:pt idx="52">
                  <c:v>45509</c:v>
                </c:pt>
                <c:pt idx="53">
                  <c:v>45510</c:v>
                </c:pt>
                <c:pt idx="54">
                  <c:v>45510</c:v>
                </c:pt>
                <c:pt idx="55">
                  <c:v>45512</c:v>
                </c:pt>
                <c:pt idx="56">
                  <c:v>45514</c:v>
                </c:pt>
                <c:pt idx="57">
                  <c:v>45519</c:v>
                </c:pt>
                <c:pt idx="58">
                  <c:v>45541</c:v>
                </c:pt>
                <c:pt idx="59">
                  <c:v>45543</c:v>
                </c:pt>
                <c:pt idx="60">
                  <c:v>45549</c:v>
                </c:pt>
                <c:pt idx="61">
                  <c:v>45549</c:v>
                </c:pt>
                <c:pt idx="62">
                  <c:v>45553</c:v>
                </c:pt>
                <c:pt idx="63">
                  <c:v>45572</c:v>
                </c:pt>
                <c:pt idx="64">
                  <c:v>45639</c:v>
                </c:pt>
                <c:pt idx="65">
                  <c:v>45651</c:v>
                </c:pt>
                <c:pt idx="66">
                  <c:v>45658</c:v>
                </c:pt>
                <c:pt idx="67">
                  <c:v>45664</c:v>
                </c:pt>
                <c:pt idx="68">
                  <c:v>45666</c:v>
                </c:pt>
              </c:numCache>
            </c:numRef>
          </c:cat>
          <c:val>
            <c:numRef>
              <c:f>all!$K$3:$K$71</c:f>
              <c:numCache>
                <c:formatCode>General</c:formatCode>
                <c:ptCount val="69"/>
                <c:pt idx="0">
                  <c:v>145</c:v>
                </c:pt>
                <c:pt idx="1">
                  <c:v>149</c:v>
                </c:pt>
                <c:pt idx="2">
                  <c:v>138</c:v>
                </c:pt>
                <c:pt idx="3">
                  <c:v>45</c:v>
                </c:pt>
                <c:pt idx="4">
                  <c:v>42</c:v>
                </c:pt>
                <c:pt idx="5">
                  <c:v>48</c:v>
                </c:pt>
                <c:pt idx="6">
                  <c:v>50</c:v>
                </c:pt>
                <c:pt idx="7">
                  <c:v>54</c:v>
                </c:pt>
                <c:pt idx="8">
                  <c:v>54</c:v>
                </c:pt>
                <c:pt idx="9">
                  <c:v>48</c:v>
                </c:pt>
                <c:pt idx="10">
                  <c:v>48</c:v>
                </c:pt>
                <c:pt idx="11">
                  <c:v>54</c:v>
                </c:pt>
                <c:pt idx="12">
                  <c:v>39</c:v>
                </c:pt>
                <c:pt idx="13">
                  <c:v>13</c:v>
                </c:pt>
                <c:pt idx="14">
                  <c:v>9</c:v>
                </c:pt>
                <c:pt idx="15">
                  <c:v>21</c:v>
                </c:pt>
                <c:pt idx="16">
                  <c:v>88</c:v>
                </c:pt>
                <c:pt idx="17">
                  <c:v>388.5</c:v>
                </c:pt>
                <c:pt idx="18">
                  <c:v>388.5</c:v>
                </c:pt>
                <c:pt idx="19">
                  <c:v>45</c:v>
                </c:pt>
                <c:pt idx="20">
                  <c:v>45.5</c:v>
                </c:pt>
                <c:pt idx="21">
                  <c:v>91.5</c:v>
                </c:pt>
                <c:pt idx="22">
                  <c:v>88</c:v>
                </c:pt>
                <c:pt idx="23">
                  <c:v>131.5</c:v>
                </c:pt>
                <c:pt idx="24">
                  <c:v>45</c:v>
                </c:pt>
                <c:pt idx="25">
                  <c:v>54</c:v>
                </c:pt>
                <c:pt idx="26">
                  <c:v>58</c:v>
                </c:pt>
                <c:pt idx="27">
                  <c:v>58</c:v>
                </c:pt>
                <c:pt idx="28">
                  <c:v>39.5</c:v>
                </c:pt>
                <c:pt idx="29">
                  <c:v>22.5</c:v>
                </c:pt>
                <c:pt idx="30">
                  <c:v>107</c:v>
                </c:pt>
                <c:pt idx="31">
                  <c:v>98</c:v>
                </c:pt>
                <c:pt idx="32">
                  <c:v>45.5</c:v>
                </c:pt>
                <c:pt idx="33">
                  <c:v>68</c:v>
                </c:pt>
                <c:pt idx="34">
                  <c:v>100</c:v>
                </c:pt>
                <c:pt idx="35">
                  <c:v>64.5</c:v>
                </c:pt>
                <c:pt idx="36">
                  <c:v>186</c:v>
                </c:pt>
                <c:pt idx="37">
                  <c:v>22.5</c:v>
                </c:pt>
                <c:pt idx="38">
                  <c:v>25.5</c:v>
                </c:pt>
                <c:pt idx="39">
                  <c:v>54</c:v>
                </c:pt>
                <c:pt idx="40">
                  <c:v>50</c:v>
                </c:pt>
                <c:pt idx="41">
                  <c:v>34.5</c:v>
                </c:pt>
                <c:pt idx="42">
                  <c:v>47.5</c:v>
                </c:pt>
                <c:pt idx="43">
                  <c:v>21.5</c:v>
                </c:pt>
                <c:pt idx="44">
                  <c:v>34.5</c:v>
                </c:pt>
                <c:pt idx="45">
                  <c:v>20</c:v>
                </c:pt>
                <c:pt idx="46">
                  <c:v>12.5</c:v>
                </c:pt>
                <c:pt idx="47">
                  <c:v>12.5</c:v>
                </c:pt>
                <c:pt idx="48">
                  <c:v>50</c:v>
                </c:pt>
                <c:pt idx="49">
                  <c:v>74.5</c:v>
                </c:pt>
                <c:pt idx="50">
                  <c:v>74.5</c:v>
                </c:pt>
                <c:pt idx="51">
                  <c:v>58</c:v>
                </c:pt>
                <c:pt idx="52">
                  <c:v>58</c:v>
                </c:pt>
                <c:pt idx="53">
                  <c:v>444.5</c:v>
                </c:pt>
                <c:pt idx="54">
                  <c:v>93</c:v>
                </c:pt>
                <c:pt idx="55">
                  <c:v>54</c:v>
                </c:pt>
                <c:pt idx="56">
                  <c:v>115</c:v>
                </c:pt>
                <c:pt idx="57">
                  <c:v>53.5</c:v>
                </c:pt>
                <c:pt idx="58">
                  <c:v>51.5</c:v>
                </c:pt>
                <c:pt idx="59">
                  <c:v>109.5</c:v>
                </c:pt>
                <c:pt idx="60">
                  <c:v>75</c:v>
                </c:pt>
                <c:pt idx="61">
                  <c:v>152</c:v>
                </c:pt>
                <c:pt idx="62">
                  <c:v>54</c:v>
                </c:pt>
                <c:pt idx="63">
                  <c:v>54</c:v>
                </c:pt>
                <c:pt idx="64">
                  <c:v>75</c:v>
                </c:pt>
                <c:pt idx="65">
                  <c:v>54</c:v>
                </c:pt>
                <c:pt idx="66">
                  <c:v>71</c:v>
                </c:pt>
                <c:pt idx="67">
                  <c:v>110</c:v>
                </c:pt>
                <c:pt idx="6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7A-44B5-AAA0-C0219B4A3D9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all!$C$3:$C$71</c:f>
              <c:numCache>
                <c:formatCode>m/d/yyyy</c:formatCode>
                <c:ptCount val="69"/>
                <c:pt idx="0">
                  <c:v>44734</c:v>
                </c:pt>
                <c:pt idx="1">
                  <c:v>44774</c:v>
                </c:pt>
                <c:pt idx="2">
                  <c:v>44777</c:v>
                </c:pt>
                <c:pt idx="3">
                  <c:v>44788</c:v>
                </c:pt>
                <c:pt idx="4">
                  <c:v>44788</c:v>
                </c:pt>
                <c:pt idx="5">
                  <c:v>44835</c:v>
                </c:pt>
                <c:pt idx="6">
                  <c:v>44841</c:v>
                </c:pt>
                <c:pt idx="7">
                  <c:v>44907</c:v>
                </c:pt>
                <c:pt idx="8">
                  <c:v>44965</c:v>
                </c:pt>
                <c:pt idx="9">
                  <c:v>45016</c:v>
                </c:pt>
                <c:pt idx="10">
                  <c:v>45045</c:v>
                </c:pt>
                <c:pt idx="11">
                  <c:v>45049</c:v>
                </c:pt>
                <c:pt idx="12">
                  <c:v>45102</c:v>
                </c:pt>
                <c:pt idx="13">
                  <c:v>45104</c:v>
                </c:pt>
                <c:pt idx="14">
                  <c:v>45106</c:v>
                </c:pt>
                <c:pt idx="15">
                  <c:v>45107</c:v>
                </c:pt>
                <c:pt idx="16">
                  <c:v>45107</c:v>
                </c:pt>
                <c:pt idx="17">
                  <c:v>45121</c:v>
                </c:pt>
                <c:pt idx="18">
                  <c:v>45123</c:v>
                </c:pt>
                <c:pt idx="19">
                  <c:v>45131</c:v>
                </c:pt>
                <c:pt idx="20">
                  <c:v>45133</c:v>
                </c:pt>
                <c:pt idx="21">
                  <c:v>45133</c:v>
                </c:pt>
                <c:pt idx="22">
                  <c:v>45156</c:v>
                </c:pt>
                <c:pt idx="23">
                  <c:v>45156</c:v>
                </c:pt>
                <c:pt idx="24">
                  <c:v>45156</c:v>
                </c:pt>
                <c:pt idx="25">
                  <c:v>45163</c:v>
                </c:pt>
                <c:pt idx="26">
                  <c:v>45184</c:v>
                </c:pt>
                <c:pt idx="27">
                  <c:v>45186</c:v>
                </c:pt>
                <c:pt idx="28">
                  <c:v>45197</c:v>
                </c:pt>
                <c:pt idx="29">
                  <c:v>45203</c:v>
                </c:pt>
                <c:pt idx="30">
                  <c:v>45203</c:v>
                </c:pt>
                <c:pt idx="31">
                  <c:v>45203</c:v>
                </c:pt>
                <c:pt idx="32">
                  <c:v>45203</c:v>
                </c:pt>
                <c:pt idx="33">
                  <c:v>45299</c:v>
                </c:pt>
                <c:pt idx="34">
                  <c:v>45302</c:v>
                </c:pt>
                <c:pt idx="35">
                  <c:v>45302</c:v>
                </c:pt>
                <c:pt idx="36">
                  <c:v>45303</c:v>
                </c:pt>
                <c:pt idx="37">
                  <c:v>45306</c:v>
                </c:pt>
                <c:pt idx="38">
                  <c:v>45307</c:v>
                </c:pt>
                <c:pt idx="39">
                  <c:v>45311</c:v>
                </c:pt>
                <c:pt idx="40">
                  <c:v>45318</c:v>
                </c:pt>
                <c:pt idx="41">
                  <c:v>45318</c:v>
                </c:pt>
                <c:pt idx="42">
                  <c:v>45321</c:v>
                </c:pt>
                <c:pt idx="43">
                  <c:v>45321</c:v>
                </c:pt>
                <c:pt idx="44">
                  <c:v>45351</c:v>
                </c:pt>
                <c:pt idx="45">
                  <c:v>45351</c:v>
                </c:pt>
                <c:pt idx="46">
                  <c:v>45389</c:v>
                </c:pt>
                <c:pt idx="47">
                  <c:v>45414</c:v>
                </c:pt>
                <c:pt idx="48">
                  <c:v>45438</c:v>
                </c:pt>
                <c:pt idx="49">
                  <c:v>45501</c:v>
                </c:pt>
                <c:pt idx="50">
                  <c:v>45501</c:v>
                </c:pt>
                <c:pt idx="51">
                  <c:v>45508</c:v>
                </c:pt>
                <c:pt idx="52">
                  <c:v>45509</c:v>
                </c:pt>
                <c:pt idx="53">
                  <c:v>45510</c:v>
                </c:pt>
                <c:pt idx="54">
                  <c:v>45510</c:v>
                </c:pt>
                <c:pt idx="55">
                  <c:v>45512</c:v>
                </c:pt>
                <c:pt idx="56">
                  <c:v>45514</c:v>
                </c:pt>
                <c:pt idx="57">
                  <c:v>45519</c:v>
                </c:pt>
                <c:pt idx="58">
                  <c:v>45541</c:v>
                </c:pt>
                <c:pt idx="59">
                  <c:v>45543</c:v>
                </c:pt>
                <c:pt idx="60">
                  <c:v>45549</c:v>
                </c:pt>
                <c:pt idx="61">
                  <c:v>45549</c:v>
                </c:pt>
                <c:pt idx="62">
                  <c:v>45553</c:v>
                </c:pt>
                <c:pt idx="63">
                  <c:v>45572</c:v>
                </c:pt>
                <c:pt idx="64">
                  <c:v>45639</c:v>
                </c:pt>
                <c:pt idx="65">
                  <c:v>45651</c:v>
                </c:pt>
                <c:pt idx="66">
                  <c:v>45658</c:v>
                </c:pt>
                <c:pt idx="67">
                  <c:v>45664</c:v>
                </c:pt>
                <c:pt idx="68">
                  <c:v>45666</c:v>
                </c:pt>
              </c:numCache>
            </c:numRef>
          </c:cat>
          <c:val>
            <c:numRef>
              <c:f>all!$L$3:$L$71</c:f>
              <c:numCache>
                <c:formatCode>General</c:formatCode>
                <c:ptCount val="69"/>
                <c:pt idx="0">
                  <c:v>328</c:v>
                </c:pt>
                <c:pt idx="1">
                  <c:v>575</c:v>
                </c:pt>
                <c:pt idx="2">
                  <c:v>562</c:v>
                </c:pt>
                <c:pt idx="3">
                  <c:v>39</c:v>
                </c:pt>
                <c:pt idx="4">
                  <c:v>39</c:v>
                </c:pt>
                <c:pt idx="5">
                  <c:v>74</c:v>
                </c:pt>
                <c:pt idx="6">
                  <c:v>74</c:v>
                </c:pt>
                <c:pt idx="7">
                  <c:v>74</c:v>
                </c:pt>
                <c:pt idx="8">
                  <c:v>74</c:v>
                </c:pt>
                <c:pt idx="9">
                  <c:v>74</c:v>
                </c:pt>
                <c:pt idx="10">
                  <c:v>74</c:v>
                </c:pt>
                <c:pt idx="11">
                  <c:v>74</c:v>
                </c:pt>
                <c:pt idx="12">
                  <c:v>88</c:v>
                </c:pt>
                <c:pt idx="13">
                  <c:v>29</c:v>
                </c:pt>
                <c:pt idx="14">
                  <c:v>25</c:v>
                </c:pt>
                <c:pt idx="15">
                  <c:v>42</c:v>
                </c:pt>
                <c:pt idx="16">
                  <c:v>174</c:v>
                </c:pt>
                <c:pt idx="17">
                  <c:v>809</c:v>
                </c:pt>
                <c:pt idx="18">
                  <c:v>809</c:v>
                </c:pt>
                <c:pt idx="19">
                  <c:v>74</c:v>
                </c:pt>
                <c:pt idx="20">
                  <c:v>71</c:v>
                </c:pt>
                <c:pt idx="21">
                  <c:v>246</c:v>
                </c:pt>
                <c:pt idx="22">
                  <c:v>148</c:v>
                </c:pt>
                <c:pt idx="23">
                  <c:v>177</c:v>
                </c:pt>
                <c:pt idx="24">
                  <c:v>74</c:v>
                </c:pt>
                <c:pt idx="25">
                  <c:v>74</c:v>
                </c:pt>
                <c:pt idx="26">
                  <c:v>74</c:v>
                </c:pt>
                <c:pt idx="27">
                  <c:v>74</c:v>
                </c:pt>
                <c:pt idx="28">
                  <c:v>52</c:v>
                </c:pt>
                <c:pt idx="29">
                  <c:v>115</c:v>
                </c:pt>
                <c:pt idx="30">
                  <c:v>180</c:v>
                </c:pt>
                <c:pt idx="31">
                  <c:v>160</c:v>
                </c:pt>
                <c:pt idx="32">
                  <c:v>71</c:v>
                </c:pt>
                <c:pt idx="33">
                  <c:v>204</c:v>
                </c:pt>
                <c:pt idx="34">
                  <c:v>285</c:v>
                </c:pt>
                <c:pt idx="35">
                  <c:v>431</c:v>
                </c:pt>
                <c:pt idx="36">
                  <c:v>475</c:v>
                </c:pt>
                <c:pt idx="37">
                  <c:v>179</c:v>
                </c:pt>
                <c:pt idx="38">
                  <c:v>186</c:v>
                </c:pt>
                <c:pt idx="39">
                  <c:v>74</c:v>
                </c:pt>
                <c:pt idx="40">
                  <c:v>88</c:v>
                </c:pt>
                <c:pt idx="41">
                  <c:v>50</c:v>
                </c:pt>
                <c:pt idx="42">
                  <c:v>117</c:v>
                </c:pt>
                <c:pt idx="43">
                  <c:v>137</c:v>
                </c:pt>
                <c:pt idx="44">
                  <c:v>50</c:v>
                </c:pt>
                <c:pt idx="45">
                  <c:v>32</c:v>
                </c:pt>
                <c:pt idx="46">
                  <c:v>68</c:v>
                </c:pt>
                <c:pt idx="47">
                  <c:v>68</c:v>
                </c:pt>
                <c:pt idx="48">
                  <c:v>74</c:v>
                </c:pt>
                <c:pt idx="49">
                  <c:v>102</c:v>
                </c:pt>
                <c:pt idx="50">
                  <c:v>102</c:v>
                </c:pt>
                <c:pt idx="51">
                  <c:v>74</c:v>
                </c:pt>
                <c:pt idx="52">
                  <c:v>74</c:v>
                </c:pt>
                <c:pt idx="53">
                  <c:v>969</c:v>
                </c:pt>
                <c:pt idx="54">
                  <c:v>215</c:v>
                </c:pt>
                <c:pt idx="55">
                  <c:v>115</c:v>
                </c:pt>
                <c:pt idx="56">
                  <c:v>251</c:v>
                </c:pt>
                <c:pt idx="57">
                  <c:v>76</c:v>
                </c:pt>
                <c:pt idx="58">
                  <c:v>344</c:v>
                </c:pt>
                <c:pt idx="59">
                  <c:v>185</c:v>
                </c:pt>
                <c:pt idx="60">
                  <c:v>56</c:v>
                </c:pt>
                <c:pt idx="61">
                  <c:v>118</c:v>
                </c:pt>
                <c:pt idx="62">
                  <c:v>74</c:v>
                </c:pt>
                <c:pt idx="63">
                  <c:v>74</c:v>
                </c:pt>
                <c:pt idx="64">
                  <c:v>56</c:v>
                </c:pt>
                <c:pt idx="65">
                  <c:v>74</c:v>
                </c:pt>
                <c:pt idx="66">
                  <c:v>169</c:v>
                </c:pt>
                <c:pt idx="67">
                  <c:v>378</c:v>
                </c:pt>
                <c:pt idx="6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7A-44B5-AAA0-C0219B4A3D9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all!$C$3:$C$71</c:f>
              <c:numCache>
                <c:formatCode>m/d/yyyy</c:formatCode>
                <c:ptCount val="69"/>
                <c:pt idx="0">
                  <c:v>44734</c:v>
                </c:pt>
                <c:pt idx="1">
                  <c:v>44774</c:v>
                </c:pt>
                <c:pt idx="2">
                  <c:v>44777</c:v>
                </c:pt>
                <c:pt idx="3">
                  <c:v>44788</c:v>
                </c:pt>
                <c:pt idx="4">
                  <c:v>44788</c:v>
                </c:pt>
                <c:pt idx="5">
                  <c:v>44835</c:v>
                </c:pt>
                <c:pt idx="6">
                  <c:v>44841</c:v>
                </c:pt>
                <c:pt idx="7">
                  <c:v>44907</c:v>
                </c:pt>
                <c:pt idx="8">
                  <c:v>44965</c:v>
                </c:pt>
                <c:pt idx="9">
                  <c:v>45016</c:v>
                </c:pt>
                <c:pt idx="10">
                  <c:v>45045</c:v>
                </c:pt>
                <c:pt idx="11">
                  <c:v>45049</c:v>
                </c:pt>
                <c:pt idx="12">
                  <c:v>45102</c:v>
                </c:pt>
                <c:pt idx="13">
                  <c:v>45104</c:v>
                </c:pt>
                <c:pt idx="14">
                  <c:v>45106</c:v>
                </c:pt>
                <c:pt idx="15">
                  <c:v>45107</c:v>
                </c:pt>
                <c:pt idx="16">
                  <c:v>45107</c:v>
                </c:pt>
                <c:pt idx="17">
                  <c:v>45121</c:v>
                </c:pt>
                <c:pt idx="18">
                  <c:v>45123</c:v>
                </c:pt>
                <c:pt idx="19">
                  <c:v>45131</c:v>
                </c:pt>
                <c:pt idx="20">
                  <c:v>45133</c:v>
                </c:pt>
                <c:pt idx="21">
                  <c:v>45133</c:v>
                </c:pt>
                <c:pt idx="22">
                  <c:v>45156</c:v>
                </c:pt>
                <c:pt idx="23">
                  <c:v>45156</c:v>
                </c:pt>
                <c:pt idx="24">
                  <c:v>45156</c:v>
                </c:pt>
                <c:pt idx="25">
                  <c:v>45163</c:v>
                </c:pt>
                <c:pt idx="26">
                  <c:v>45184</c:v>
                </c:pt>
                <c:pt idx="27">
                  <c:v>45186</c:v>
                </c:pt>
                <c:pt idx="28">
                  <c:v>45197</c:v>
                </c:pt>
                <c:pt idx="29">
                  <c:v>45203</c:v>
                </c:pt>
                <c:pt idx="30">
                  <c:v>45203</c:v>
                </c:pt>
                <c:pt idx="31">
                  <c:v>45203</c:v>
                </c:pt>
                <c:pt idx="32">
                  <c:v>45203</c:v>
                </c:pt>
                <c:pt idx="33">
                  <c:v>45299</c:v>
                </c:pt>
                <c:pt idx="34">
                  <c:v>45302</c:v>
                </c:pt>
                <c:pt idx="35">
                  <c:v>45302</c:v>
                </c:pt>
                <c:pt idx="36">
                  <c:v>45303</c:v>
                </c:pt>
                <c:pt idx="37">
                  <c:v>45306</c:v>
                </c:pt>
                <c:pt idx="38">
                  <c:v>45307</c:v>
                </c:pt>
                <c:pt idx="39">
                  <c:v>45311</c:v>
                </c:pt>
                <c:pt idx="40">
                  <c:v>45318</c:v>
                </c:pt>
                <c:pt idx="41">
                  <c:v>45318</c:v>
                </c:pt>
                <c:pt idx="42">
                  <c:v>45321</c:v>
                </c:pt>
                <c:pt idx="43">
                  <c:v>45321</c:v>
                </c:pt>
                <c:pt idx="44">
                  <c:v>45351</c:v>
                </c:pt>
                <c:pt idx="45">
                  <c:v>45351</c:v>
                </c:pt>
                <c:pt idx="46">
                  <c:v>45389</c:v>
                </c:pt>
                <c:pt idx="47">
                  <c:v>45414</c:v>
                </c:pt>
                <c:pt idx="48">
                  <c:v>45438</c:v>
                </c:pt>
                <c:pt idx="49">
                  <c:v>45501</c:v>
                </c:pt>
                <c:pt idx="50">
                  <c:v>45501</c:v>
                </c:pt>
                <c:pt idx="51">
                  <c:v>45508</c:v>
                </c:pt>
                <c:pt idx="52">
                  <c:v>45509</c:v>
                </c:pt>
                <c:pt idx="53">
                  <c:v>45510</c:v>
                </c:pt>
                <c:pt idx="54">
                  <c:v>45510</c:v>
                </c:pt>
                <c:pt idx="55">
                  <c:v>45512</c:v>
                </c:pt>
                <c:pt idx="56">
                  <c:v>45514</c:v>
                </c:pt>
                <c:pt idx="57">
                  <c:v>45519</c:v>
                </c:pt>
                <c:pt idx="58">
                  <c:v>45541</c:v>
                </c:pt>
                <c:pt idx="59">
                  <c:v>45543</c:v>
                </c:pt>
                <c:pt idx="60">
                  <c:v>45549</c:v>
                </c:pt>
                <c:pt idx="61">
                  <c:v>45549</c:v>
                </c:pt>
                <c:pt idx="62">
                  <c:v>45553</c:v>
                </c:pt>
                <c:pt idx="63">
                  <c:v>45572</c:v>
                </c:pt>
                <c:pt idx="64">
                  <c:v>45639</c:v>
                </c:pt>
                <c:pt idx="65">
                  <c:v>45651</c:v>
                </c:pt>
                <c:pt idx="66">
                  <c:v>45658</c:v>
                </c:pt>
                <c:pt idx="67">
                  <c:v>45664</c:v>
                </c:pt>
                <c:pt idx="68">
                  <c:v>45666</c:v>
                </c:pt>
              </c:numCache>
            </c:numRef>
          </c:cat>
          <c:val>
            <c:numRef>
              <c:f>all!$AD$3:$AD$71</c:f>
              <c:numCache>
                <c:formatCode>0.00_);[Red]\(0.00\)</c:formatCode>
                <c:ptCount val="69"/>
                <c:pt idx="0">
                  <c:v>291.66666666666669</c:v>
                </c:pt>
                <c:pt idx="1">
                  <c:v>518.75</c:v>
                </c:pt>
                <c:pt idx="2">
                  <c:v>491.66666666666657</c:v>
                </c:pt>
                <c:pt idx="3">
                  <c:v>45.833333333333336</c:v>
                </c:pt>
                <c:pt idx="4">
                  <c:v>43.750000000000178</c:v>
                </c:pt>
                <c:pt idx="5">
                  <c:v>83.333333333333371</c:v>
                </c:pt>
                <c:pt idx="6">
                  <c:v>112.49999999999993</c:v>
                </c:pt>
                <c:pt idx="7">
                  <c:v>81.250000000000043</c:v>
                </c:pt>
                <c:pt idx="8">
                  <c:v>99.999999999999972</c:v>
                </c:pt>
                <c:pt idx="9">
                  <c:v>81.250000000000043</c:v>
                </c:pt>
                <c:pt idx="10">
                  <c:v>83.333333333333371</c:v>
                </c:pt>
                <c:pt idx="11">
                  <c:v>99.999999999999972</c:v>
                </c:pt>
                <c:pt idx="12">
                  <c:v>62.49999999999978</c:v>
                </c:pt>
                <c:pt idx="13">
                  <c:v>22.916666666666586</c:v>
                </c:pt>
                <c:pt idx="14">
                  <c:v>22.916666666666753</c:v>
                </c:pt>
                <c:pt idx="15">
                  <c:v>54.166666666666643</c:v>
                </c:pt>
                <c:pt idx="16">
                  <c:v>133.33333333333351</c:v>
                </c:pt>
                <c:pt idx="17">
                  <c:v>431.24999999999994</c:v>
                </c:pt>
                <c:pt idx="18">
                  <c:v>460.41666666666669</c:v>
                </c:pt>
                <c:pt idx="19">
                  <c:v>81.249999999999716</c:v>
                </c:pt>
                <c:pt idx="20">
                  <c:v>102.08333333333347</c:v>
                </c:pt>
                <c:pt idx="21">
                  <c:v>431.25000000000011</c:v>
                </c:pt>
                <c:pt idx="22">
                  <c:v>110.41666666666677</c:v>
                </c:pt>
                <c:pt idx="23">
                  <c:v>195.83333333333331</c:v>
                </c:pt>
                <c:pt idx="24">
                  <c:v>81.250000000000043</c:v>
                </c:pt>
                <c:pt idx="25">
                  <c:v>102.08333333333347</c:v>
                </c:pt>
                <c:pt idx="26">
                  <c:v>81.249999999999716</c:v>
                </c:pt>
                <c:pt idx="27">
                  <c:v>112.49999999999993</c:v>
                </c:pt>
                <c:pt idx="28">
                  <c:v>35.41666666666687</c:v>
                </c:pt>
                <c:pt idx="29">
                  <c:v>183.33333333333317</c:v>
                </c:pt>
                <c:pt idx="30">
                  <c:v>137.49999999999986</c:v>
                </c:pt>
                <c:pt idx="31">
                  <c:v>164.58333333333343</c:v>
                </c:pt>
                <c:pt idx="32">
                  <c:v>112.49999999999993</c:v>
                </c:pt>
                <c:pt idx="33">
                  <c:v>154.16666666666646</c:v>
                </c:pt>
                <c:pt idx="34">
                  <c:v>183.33333333333334</c:v>
                </c:pt>
                <c:pt idx="35">
                  <c:v>714.58333333333314</c:v>
                </c:pt>
                <c:pt idx="36">
                  <c:v>958.33333333333326</c:v>
                </c:pt>
                <c:pt idx="37">
                  <c:v>516.66666666666663</c:v>
                </c:pt>
                <c:pt idx="38">
                  <c:v>275</c:v>
                </c:pt>
                <c:pt idx="39">
                  <c:v>81.250000000000043</c:v>
                </c:pt>
                <c:pt idx="40">
                  <c:v>112.49999999999993</c:v>
                </c:pt>
                <c:pt idx="41">
                  <c:v>35.416666666666544</c:v>
                </c:pt>
                <c:pt idx="42">
                  <c:v>237.5</c:v>
                </c:pt>
                <c:pt idx="43">
                  <c:v>237.49999999999983</c:v>
                </c:pt>
                <c:pt idx="44">
                  <c:v>37.500000000000036</c:v>
                </c:pt>
                <c:pt idx="45">
                  <c:v>49.999999999999986</c:v>
                </c:pt>
                <c:pt idx="46">
                  <c:v>164.58333333333326</c:v>
                </c:pt>
                <c:pt idx="47">
                  <c:v>89.583333333333343</c:v>
                </c:pt>
                <c:pt idx="48">
                  <c:v>83.333333333333371</c:v>
                </c:pt>
                <c:pt idx="49">
                  <c:v>60.416666666666785</c:v>
                </c:pt>
                <c:pt idx="50">
                  <c:v>74.99999999999973</c:v>
                </c:pt>
                <c:pt idx="51">
                  <c:v>91.666666666666671</c:v>
                </c:pt>
                <c:pt idx="52">
                  <c:v>95.833333333333655</c:v>
                </c:pt>
                <c:pt idx="53">
                  <c:v>543.75000000000011</c:v>
                </c:pt>
                <c:pt idx="54">
                  <c:v>185.41666666666669</c:v>
                </c:pt>
                <c:pt idx="55">
                  <c:v>93.75</c:v>
                </c:pt>
                <c:pt idx="56">
                  <c:v>170.8333333333334</c:v>
                </c:pt>
                <c:pt idx="57">
                  <c:v>110.4166666666666</c:v>
                </c:pt>
                <c:pt idx="58">
                  <c:v>491.66666666666691</c:v>
                </c:pt>
                <c:pt idx="59">
                  <c:v>145.83333333333314</c:v>
                </c:pt>
                <c:pt idx="60">
                  <c:v>56.250000000000135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7A-44B5-AAA0-C0219B4A3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827152"/>
        <c:axId val="2097844016"/>
      </c:lineChart>
      <c:dateAx>
        <c:axId val="209782715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7844016"/>
        <c:crosses val="autoZero"/>
        <c:auto val="0"/>
        <c:lblOffset val="100"/>
        <c:baseTimeUnit val="days"/>
      </c:dateAx>
      <c:valAx>
        <c:axId val="2097844016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782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4405265632346"/>
          <c:y val="7.8315537782907951E-2"/>
          <c:w val="8.8857545839210156E-2"/>
          <c:h val="4.9084113176952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358140</xdr:colOff>
      <xdr:row>3</xdr:row>
      <xdr:rowOff>30480</xdr:rowOff>
    </xdr:from>
    <xdr:to>
      <xdr:col>46</xdr:col>
      <xdr:colOff>579120</xdr:colOff>
      <xdr:row>28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B0921B0-1C6D-4B2A-AB3A-54FA4C626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480060</xdr:colOff>
      <xdr:row>1</xdr:row>
      <xdr:rowOff>15240</xdr:rowOff>
    </xdr:from>
    <xdr:to>
      <xdr:col>24</xdr:col>
      <xdr:colOff>350520</xdr:colOff>
      <xdr:row>42</xdr:row>
      <xdr:rowOff>137160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75F2049-68B2-4B59-A2B5-F18036EA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4540" y="190500"/>
          <a:ext cx="5966460" cy="7307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3"/>
  <sheetViews>
    <sheetView tabSelected="1" zoomScale="115" zoomScaleNormal="115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R63" sqref="R63"/>
    </sheetView>
  </sheetViews>
  <sheetFormatPr defaultRowHeight="13.8" x14ac:dyDescent="0.25"/>
  <cols>
    <col min="1" max="1" width="3.21875" style="2" customWidth="1"/>
    <col min="2" max="2" width="3.44140625" style="2" customWidth="1"/>
    <col min="3" max="3" width="12" style="1" customWidth="1"/>
    <col min="4" max="4" width="8.88671875" style="46"/>
    <col min="5" max="5" width="8.88671875" style="47"/>
    <col min="6" max="7" width="8.88671875" style="2"/>
    <col min="8" max="8" width="12" style="2" customWidth="1"/>
    <col min="9" max="9" width="5.77734375" style="2" customWidth="1"/>
    <col min="10" max="10" width="13.44140625" style="2" customWidth="1"/>
    <col min="11" max="11" width="8.88671875" style="46" customWidth="1"/>
    <col min="12" max="12" width="8.88671875" style="2" customWidth="1"/>
    <col min="13" max="13" width="8.88671875" style="54"/>
    <col min="14" max="14" width="8.88671875" style="5"/>
    <col min="15" max="16" width="8.88671875" style="55"/>
    <col min="17" max="17" width="10.5546875" style="57" bestFit="1" customWidth="1"/>
    <col min="18" max="19" width="9.77734375" style="2" customWidth="1"/>
    <col min="20" max="22" width="8.88671875" style="2"/>
    <col min="23" max="23" width="0" style="176" hidden="1" customWidth="1"/>
    <col min="24" max="24" width="80.88671875" style="191" customWidth="1"/>
    <col min="25" max="26" width="8.88671875" style="2" customWidth="1"/>
    <col min="27" max="27" width="9.109375" style="2" customWidth="1"/>
    <col min="28" max="29" width="11.77734375" style="2" customWidth="1"/>
    <col min="30" max="30" width="9.5546875" style="5" bestFit="1" customWidth="1"/>
    <col min="31" max="31" width="12.5546875" style="2" customWidth="1"/>
    <col min="32" max="16384" width="8.88671875" style="2"/>
  </cols>
  <sheetData>
    <row r="1" spans="1:31" x14ac:dyDescent="0.25">
      <c r="A1" s="2" t="s">
        <v>254</v>
      </c>
      <c r="B1" s="2" t="s">
        <v>256</v>
      </c>
      <c r="C1" s="1" t="s">
        <v>0</v>
      </c>
      <c r="D1" s="46" t="s">
        <v>1</v>
      </c>
      <c r="E1" s="47" t="s">
        <v>2</v>
      </c>
      <c r="F1" s="2" t="s">
        <v>3</v>
      </c>
      <c r="G1" s="2" t="s">
        <v>346</v>
      </c>
      <c r="H1" s="2" t="s">
        <v>125</v>
      </c>
      <c r="I1" s="2" t="s">
        <v>114</v>
      </c>
      <c r="J1" s="2" t="s">
        <v>8</v>
      </c>
      <c r="K1" s="46" t="s">
        <v>17</v>
      </c>
      <c r="L1" s="2" t="s">
        <v>163</v>
      </c>
      <c r="M1" s="54" t="s">
        <v>168</v>
      </c>
      <c r="N1" s="134" t="s">
        <v>169</v>
      </c>
      <c r="O1" s="55" t="s">
        <v>13</v>
      </c>
      <c r="P1" s="55" t="s">
        <v>136</v>
      </c>
      <c r="Q1" s="56" t="s">
        <v>170</v>
      </c>
      <c r="R1" s="2" t="s">
        <v>240</v>
      </c>
      <c r="S1" s="2" t="s">
        <v>296</v>
      </c>
      <c r="T1" s="2" t="s">
        <v>241</v>
      </c>
      <c r="U1" s="2" t="s">
        <v>277</v>
      </c>
      <c r="V1" s="2" t="s">
        <v>278</v>
      </c>
      <c r="W1" s="176" t="s">
        <v>721</v>
      </c>
      <c r="X1" s="197" t="s">
        <v>722</v>
      </c>
      <c r="Y1" s="2" t="s">
        <v>307</v>
      </c>
      <c r="AE1" s="2" t="s">
        <v>549</v>
      </c>
    </row>
    <row r="2" spans="1:31" ht="14.4" thickBot="1" x14ac:dyDescent="0.3">
      <c r="A2" s="2" t="s">
        <v>255</v>
      </c>
      <c r="B2" s="162">
        <v>0</v>
      </c>
      <c r="G2" s="161"/>
      <c r="I2" s="161"/>
      <c r="K2" s="46">
        <f>SUM(K$3:K$9999)</f>
        <v>5509.5</v>
      </c>
      <c r="L2" s="2">
        <f>SUM(L$3:L$9999)</f>
        <v>11831</v>
      </c>
      <c r="M2" s="54">
        <f t="shared" ref="M2:M33" si="0">K2/L2</f>
        <v>0.46568337418645928</v>
      </c>
      <c r="N2" s="19">
        <f t="shared" ref="N2:N37" si="1">L2/(Q2*24)</f>
        <v>119.48493519609492</v>
      </c>
      <c r="O2" s="100">
        <f>AVERAGE(O3:O1000)</f>
        <v>0.58911384976525827</v>
      </c>
      <c r="P2" s="100">
        <f>AVERAGE(P3:P1000)</f>
        <v>0.63300078247261349</v>
      </c>
      <c r="Q2" s="57">
        <f>SUM(Q$3:Q$9999)</f>
        <v>4.125694444444445</v>
      </c>
      <c r="R2" s="159">
        <f>Q2/COUNT(A3:A1000)</f>
        <v>6.0671977124183013E-2</v>
      </c>
      <c r="S2" s="161"/>
      <c r="Y2" s="2" t="s">
        <v>308</v>
      </c>
    </row>
    <row r="3" spans="1:31" s="61" customFormat="1" x14ac:dyDescent="0.25">
      <c r="A3" s="61">
        <v>1</v>
      </c>
      <c r="B3" s="61">
        <v>1</v>
      </c>
      <c r="C3" s="62">
        <v>44734</v>
      </c>
      <c r="D3" s="63" t="s">
        <v>93</v>
      </c>
      <c r="E3" s="64" t="s">
        <v>95</v>
      </c>
      <c r="F3" s="61" t="s">
        <v>225</v>
      </c>
      <c r="G3" s="65" t="s">
        <v>127</v>
      </c>
      <c r="H3" s="61" t="s">
        <v>226</v>
      </c>
      <c r="I3" s="65" t="s">
        <v>115</v>
      </c>
      <c r="K3" s="63">
        <v>145</v>
      </c>
      <c r="L3" s="61">
        <v>328</v>
      </c>
      <c r="M3" s="66">
        <f t="shared" si="0"/>
        <v>0.44207317073170732</v>
      </c>
      <c r="N3" s="67">
        <f t="shared" si="1"/>
        <v>140.57142857142856</v>
      </c>
      <c r="O3" s="68">
        <v>0.86458333333333337</v>
      </c>
      <c r="P3" s="68">
        <v>0.95208333333333328</v>
      </c>
      <c r="Q3" s="69">
        <v>9.7222222222222224E-2</v>
      </c>
      <c r="R3" s="70" t="s">
        <v>167</v>
      </c>
      <c r="S3" s="70" t="s">
        <v>261</v>
      </c>
      <c r="W3" s="61" t="s">
        <v>677</v>
      </c>
      <c r="X3" s="192" t="s">
        <v>744</v>
      </c>
      <c r="AD3" s="67">
        <f>3000*Q3</f>
        <v>291.66666666666669</v>
      </c>
    </row>
    <row r="4" spans="1:31" s="21" customFormat="1" x14ac:dyDescent="0.25">
      <c r="A4" s="21">
        <v>2</v>
      </c>
      <c r="B4" s="21">
        <v>2</v>
      </c>
      <c r="C4" s="22">
        <v>44774</v>
      </c>
      <c r="D4" s="50" t="s">
        <v>5</v>
      </c>
      <c r="E4" s="51" t="s">
        <v>7</v>
      </c>
      <c r="F4" s="21" t="s">
        <v>9</v>
      </c>
      <c r="G4" s="23" t="s">
        <v>127</v>
      </c>
      <c r="H4" s="21" t="s">
        <v>147</v>
      </c>
      <c r="I4" s="23" t="s">
        <v>115</v>
      </c>
      <c r="J4" s="21" t="s">
        <v>156</v>
      </c>
      <c r="K4" s="50">
        <v>149</v>
      </c>
      <c r="L4" s="21">
        <v>575</v>
      </c>
      <c r="M4" s="24">
        <f t="shared" si="0"/>
        <v>0.25913043478260872</v>
      </c>
      <c r="N4" s="25">
        <f t="shared" si="1"/>
        <v>138.55421686746988</v>
      </c>
      <c r="O4" s="26">
        <v>0.3888888888888889</v>
      </c>
      <c r="P4" s="26">
        <v>0.56180555555555556</v>
      </c>
      <c r="Q4" s="59">
        <f t="shared" ref="Q4:Q37" si="2">P4-O4</f>
        <v>0.17291666666666666</v>
      </c>
      <c r="R4" s="27" t="s">
        <v>165</v>
      </c>
      <c r="S4" s="27" t="s">
        <v>247</v>
      </c>
      <c r="T4" s="21" t="s">
        <v>242</v>
      </c>
      <c r="W4" s="21" t="s">
        <v>718</v>
      </c>
      <c r="X4" s="193" t="s">
        <v>745</v>
      </c>
      <c r="AD4" s="25">
        <f t="shared" ref="AD4:AD63" si="3">3000*Q4</f>
        <v>518.75</v>
      </c>
    </row>
    <row r="5" spans="1:31" s="21" customFormat="1" x14ac:dyDescent="0.25">
      <c r="A5" s="21">
        <v>3</v>
      </c>
      <c r="B5" s="21">
        <v>3</v>
      </c>
      <c r="C5" s="22">
        <v>44777</v>
      </c>
      <c r="D5" s="50" t="s">
        <v>11</v>
      </c>
      <c r="E5" s="51" t="s">
        <v>5</v>
      </c>
      <c r="F5" s="21" t="s">
        <v>218</v>
      </c>
      <c r="G5" s="23" t="s">
        <v>127</v>
      </c>
      <c r="H5" s="21" t="s">
        <v>147</v>
      </c>
      <c r="I5" s="23" t="s">
        <v>115</v>
      </c>
      <c r="J5" s="21" t="s">
        <v>219</v>
      </c>
      <c r="K5" s="50">
        <v>138</v>
      </c>
      <c r="L5" s="21">
        <v>562</v>
      </c>
      <c r="M5" s="24">
        <f t="shared" si="0"/>
        <v>0.24555160142348753</v>
      </c>
      <c r="N5" s="25">
        <f t="shared" si="1"/>
        <v>142.88135593220341</v>
      </c>
      <c r="O5" s="26">
        <v>0.58125000000000004</v>
      </c>
      <c r="P5" s="26">
        <v>0.74513888888888891</v>
      </c>
      <c r="Q5" s="59">
        <f t="shared" si="2"/>
        <v>0.16388888888888886</v>
      </c>
      <c r="R5" s="28" t="s">
        <v>245</v>
      </c>
      <c r="S5" s="28" t="s">
        <v>246</v>
      </c>
      <c r="T5" s="21" t="s">
        <v>242</v>
      </c>
      <c r="W5" s="21" t="s">
        <v>719</v>
      </c>
      <c r="X5" s="193" t="s">
        <v>746</v>
      </c>
      <c r="AD5" s="25">
        <f t="shared" si="3"/>
        <v>491.66666666666657</v>
      </c>
    </row>
    <row r="6" spans="1:31" s="35" customFormat="1" x14ac:dyDescent="0.25">
      <c r="A6" s="21">
        <v>4</v>
      </c>
      <c r="B6" s="21">
        <v>4</v>
      </c>
      <c r="C6" s="36">
        <v>44788</v>
      </c>
      <c r="D6" s="52" t="s">
        <v>229</v>
      </c>
      <c r="E6" s="53" t="s">
        <v>230</v>
      </c>
      <c r="F6" s="35" t="s">
        <v>231</v>
      </c>
      <c r="G6" s="75" t="s">
        <v>232</v>
      </c>
      <c r="H6" s="35" t="s">
        <v>227</v>
      </c>
      <c r="I6" s="75" t="s">
        <v>115</v>
      </c>
      <c r="J6" s="35" t="s">
        <v>228</v>
      </c>
      <c r="K6" s="52">
        <v>45</v>
      </c>
      <c r="L6" s="35">
        <v>39</v>
      </c>
      <c r="M6" s="37">
        <f t="shared" si="0"/>
        <v>1.1538461538461537</v>
      </c>
      <c r="N6" s="38">
        <f t="shared" si="1"/>
        <v>106.36363636363636</v>
      </c>
      <c r="O6" s="39">
        <v>0.33680555555555558</v>
      </c>
      <c r="P6" s="39">
        <v>0.35208333333333336</v>
      </c>
      <c r="Q6" s="60">
        <f t="shared" si="2"/>
        <v>1.5277777777777779E-2</v>
      </c>
      <c r="R6" s="81" t="s">
        <v>165</v>
      </c>
      <c r="S6" s="81" t="s">
        <v>247</v>
      </c>
      <c r="T6" s="35" t="s">
        <v>242</v>
      </c>
      <c r="W6" s="35" t="s">
        <v>680</v>
      </c>
      <c r="X6" s="194" t="s">
        <v>747</v>
      </c>
      <c r="AD6" s="38">
        <f t="shared" si="3"/>
        <v>45.833333333333336</v>
      </c>
    </row>
    <row r="7" spans="1:31" s="15" customFormat="1" x14ac:dyDescent="0.25">
      <c r="A7" s="21">
        <v>5</v>
      </c>
      <c r="B7" s="21">
        <v>5</v>
      </c>
      <c r="C7" s="16">
        <v>44788</v>
      </c>
      <c r="D7" s="48" t="s">
        <v>230</v>
      </c>
      <c r="E7" s="49" t="s">
        <v>229</v>
      </c>
      <c r="F7" s="15" t="s">
        <v>234</v>
      </c>
      <c r="G7" s="17" t="s">
        <v>232</v>
      </c>
      <c r="H7" s="15" t="s">
        <v>147</v>
      </c>
      <c r="I7" s="17" t="s">
        <v>115</v>
      </c>
      <c r="J7" s="15" t="s">
        <v>233</v>
      </c>
      <c r="K7" s="48">
        <v>42</v>
      </c>
      <c r="L7" s="15">
        <v>39</v>
      </c>
      <c r="M7" s="18">
        <f t="shared" si="0"/>
        <v>1.0769230769230769</v>
      </c>
      <c r="N7" s="19">
        <f t="shared" si="1"/>
        <v>111.42857142857098</v>
      </c>
      <c r="O7" s="20">
        <v>0.91180555555555554</v>
      </c>
      <c r="P7" s="20">
        <v>0.92638888888888893</v>
      </c>
      <c r="Q7" s="58">
        <f t="shared" si="2"/>
        <v>1.4583333333333393E-2</v>
      </c>
      <c r="R7" s="71" t="s">
        <v>165</v>
      </c>
      <c r="S7" s="71" t="s">
        <v>247</v>
      </c>
      <c r="W7" s="15" t="s">
        <v>680</v>
      </c>
      <c r="X7" s="195" t="s">
        <v>748</v>
      </c>
      <c r="AD7" s="19">
        <f t="shared" si="3"/>
        <v>43.750000000000178</v>
      </c>
    </row>
    <row r="8" spans="1:31" s="21" customFormat="1" x14ac:dyDescent="0.25">
      <c r="A8" s="21">
        <v>6</v>
      </c>
      <c r="B8" s="21">
        <v>6</v>
      </c>
      <c r="C8" s="22">
        <v>44835</v>
      </c>
      <c r="D8" s="50" t="s">
        <v>16</v>
      </c>
      <c r="E8" s="51" t="s">
        <v>5</v>
      </c>
      <c r="F8" s="21" t="s">
        <v>14</v>
      </c>
      <c r="G8" s="23" t="s">
        <v>127</v>
      </c>
      <c r="H8" s="21" t="s">
        <v>147</v>
      </c>
      <c r="I8" s="23" t="s">
        <v>115</v>
      </c>
      <c r="K8" s="50">
        <v>48</v>
      </c>
      <c r="L8" s="21">
        <v>74</v>
      </c>
      <c r="M8" s="24">
        <f t="shared" si="0"/>
        <v>0.64864864864864868</v>
      </c>
      <c r="N8" s="25">
        <f t="shared" si="1"/>
        <v>110.99999999999996</v>
      </c>
      <c r="O8" s="26">
        <v>0.51458333333333328</v>
      </c>
      <c r="P8" s="26">
        <v>0.54236111111111107</v>
      </c>
      <c r="Q8" s="59">
        <f t="shared" si="2"/>
        <v>2.777777777777779E-2</v>
      </c>
      <c r="R8" s="27" t="s">
        <v>165</v>
      </c>
      <c r="S8" s="27" t="s">
        <v>247</v>
      </c>
      <c r="W8" s="21" t="s">
        <v>681</v>
      </c>
      <c r="X8" s="193" t="s">
        <v>749</v>
      </c>
      <c r="AD8" s="25">
        <f t="shared" si="3"/>
        <v>83.333333333333371</v>
      </c>
    </row>
    <row r="9" spans="1:31" s="21" customFormat="1" x14ac:dyDescent="0.25">
      <c r="A9" s="21">
        <v>7</v>
      </c>
      <c r="B9" s="21">
        <v>7</v>
      </c>
      <c r="C9" s="22">
        <v>44841</v>
      </c>
      <c r="D9" s="50" t="s">
        <v>5</v>
      </c>
      <c r="E9" s="51" t="s">
        <v>16</v>
      </c>
      <c r="F9" s="21" t="s">
        <v>18</v>
      </c>
      <c r="G9" s="23" t="s">
        <v>127</v>
      </c>
      <c r="H9" s="21" t="s">
        <v>147</v>
      </c>
      <c r="I9" s="23" t="s">
        <v>115</v>
      </c>
      <c r="J9" s="21" t="s">
        <v>96</v>
      </c>
      <c r="K9" s="50">
        <v>50</v>
      </c>
      <c r="L9" s="21">
        <v>74</v>
      </c>
      <c r="M9" s="24">
        <f t="shared" si="0"/>
        <v>0.67567567567567566</v>
      </c>
      <c r="N9" s="25">
        <f t="shared" si="1"/>
        <v>82.222222222222271</v>
      </c>
      <c r="O9" s="26">
        <v>0.6020833333333333</v>
      </c>
      <c r="P9" s="26">
        <v>0.63958333333333328</v>
      </c>
      <c r="Q9" s="59">
        <f t="shared" si="2"/>
        <v>3.7499999999999978E-2</v>
      </c>
      <c r="R9" s="27" t="s">
        <v>165</v>
      </c>
      <c r="S9" s="27" t="s">
        <v>247</v>
      </c>
      <c r="W9" s="21" t="s">
        <v>681</v>
      </c>
      <c r="X9" s="193" t="s">
        <v>750</v>
      </c>
      <c r="AD9" s="25">
        <f t="shared" si="3"/>
        <v>112.49999999999993</v>
      </c>
    </row>
    <row r="10" spans="1:31" s="21" customFormat="1" x14ac:dyDescent="0.25">
      <c r="A10" s="21">
        <v>8</v>
      </c>
      <c r="B10" s="21">
        <v>8</v>
      </c>
      <c r="C10" s="22">
        <v>44907</v>
      </c>
      <c r="D10" s="50" t="s">
        <v>16</v>
      </c>
      <c r="E10" s="51" t="s">
        <v>5</v>
      </c>
      <c r="F10" s="21" t="s">
        <v>19</v>
      </c>
      <c r="G10" s="23" t="s">
        <v>127</v>
      </c>
      <c r="H10" s="21" t="s">
        <v>145</v>
      </c>
      <c r="I10" s="23" t="s">
        <v>115</v>
      </c>
      <c r="J10" s="21" t="s">
        <v>97</v>
      </c>
      <c r="K10" s="50">
        <v>54</v>
      </c>
      <c r="L10" s="21">
        <v>74</v>
      </c>
      <c r="M10" s="24">
        <f t="shared" si="0"/>
        <v>0.72972972972972971</v>
      </c>
      <c r="N10" s="25">
        <f t="shared" si="1"/>
        <v>113.84615384615378</v>
      </c>
      <c r="O10" s="26">
        <v>0.3888888888888889</v>
      </c>
      <c r="P10" s="26">
        <v>0.41597222222222224</v>
      </c>
      <c r="Q10" s="59">
        <f t="shared" si="2"/>
        <v>2.7083333333333348E-2</v>
      </c>
      <c r="R10" s="29" t="s">
        <v>248</v>
      </c>
      <c r="S10" s="29" t="s">
        <v>249</v>
      </c>
      <c r="T10" s="21" t="s">
        <v>242</v>
      </c>
      <c r="W10" s="21" t="s">
        <v>681</v>
      </c>
      <c r="X10" s="193" t="s">
        <v>749</v>
      </c>
      <c r="Y10" s="21" t="s">
        <v>146</v>
      </c>
      <c r="AD10" s="25">
        <f t="shared" si="3"/>
        <v>81.250000000000043</v>
      </c>
    </row>
    <row r="11" spans="1:31" s="21" customFormat="1" x14ac:dyDescent="0.25">
      <c r="A11" s="21">
        <v>9</v>
      </c>
      <c r="B11" s="21">
        <v>9</v>
      </c>
      <c r="C11" s="22">
        <v>44965</v>
      </c>
      <c r="D11" s="50" t="s">
        <v>5</v>
      </c>
      <c r="E11" s="51" t="s">
        <v>16</v>
      </c>
      <c r="F11" s="21" t="s">
        <v>20</v>
      </c>
      <c r="G11" s="23" t="s">
        <v>127</v>
      </c>
      <c r="H11" s="21" t="s">
        <v>147</v>
      </c>
      <c r="I11" s="23" t="s">
        <v>115</v>
      </c>
      <c r="J11" s="21" t="s">
        <v>98</v>
      </c>
      <c r="K11" s="50">
        <v>54</v>
      </c>
      <c r="L11" s="21">
        <v>74</v>
      </c>
      <c r="M11" s="24">
        <f t="shared" si="0"/>
        <v>0.72972972972972971</v>
      </c>
      <c r="N11" s="25">
        <f t="shared" si="1"/>
        <v>92.500000000000014</v>
      </c>
      <c r="O11" s="26">
        <v>0.33680555555555558</v>
      </c>
      <c r="P11" s="26">
        <v>0.37013888888888891</v>
      </c>
      <c r="Q11" s="59">
        <f t="shared" si="2"/>
        <v>3.3333333333333326E-2</v>
      </c>
      <c r="R11" s="27" t="s">
        <v>250</v>
      </c>
      <c r="S11" s="27" t="s">
        <v>247</v>
      </c>
      <c r="T11" s="21" t="s">
        <v>242</v>
      </c>
      <c r="W11" s="21" t="s">
        <v>681</v>
      </c>
      <c r="X11" s="193" t="s">
        <v>750</v>
      </c>
      <c r="AD11" s="25">
        <f t="shared" si="3"/>
        <v>99.999999999999972</v>
      </c>
    </row>
    <row r="12" spans="1:31" s="21" customFormat="1" x14ac:dyDescent="0.25">
      <c r="A12" s="21">
        <v>10</v>
      </c>
      <c r="B12" s="21">
        <v>10</v>
      </c>
      <c r="C12" s="22">
        <v>45016</v>
      </c>
      <c r="D12" s="50" t="s">
        <v>16</v>
      </c>
      <c r="E12" s="51" t="s">
        <v>5</v>
      </c>
      <c r="F12" s="21" t="s">
        <v>21</v>
      </c>
      <c r="G12" s="23" t="s">
        <v>127</v>
      </c>
      <c r="H12" s="21" t="s">
        <v>147</v>
      </c>
      <c r="I12" s="23" t="s">
        <v>115</v>
      </c>
      <c r="J12" s="21" t="s">
        <v>99</v>
      </c>
      <c r="K12" s="50">
        <v>48</v>
      </c>
      <c r="L12" s="21">
        <v>74</v>
      </c>
      <c r="M12" s="24">
        <f t="shared" si="0"/>
        <v>0.64864864864864868</v>
      </c>
      <c r="N12" s="25">
        <f t="shared" si="1"/>
        <v>113.84615384615378</v>
      </c>
      <c r="O12" s="26">
        <v>0.89930555555555558</v>
      </c>
      <c r="P12" s="26">
        <v>0.92638888888888893</v>
      </c>
      <c r="Q12" s="59">
        <f t="shared" si="2"/>
        <v>2.7083333333333348E-2</v>
      </c>
      <c r="R12" s="27" t="s">
        <v>250</v>
      </c>
      <c r="S12" s="27" t="s">
        <v>247</v>
      </c>
      <c r="W12" s="21" t="s">
        <v>681</v>
      </c>
      <c r="X12" s="193" t="s">
        <v>749</v>
      </c>
      <c r="AD12" s="25">
        <f t="shared" si="3"/>
        <v>81.250000000000043</v>
      </c>
    </row>
    <row r="13" spans="1:31" s="21" customFormat="1" x14ac:dyDescent="0.25">
      <c r="A13" s="21">
        <v>11</v>
      </c>
      <c r="B13" s="21">
        <v>11</v>
      </c>
      <c r="C13" s="22">
        <v>45045</v>
      </c>
      <c r="D13" s="50" t="s">
        <v>16</v>
      </c>
      <c r="E13" s="51" t="s">
        <v>5</v>
      </c>
      <c r="F13" s="21" t="s">
        <v>22</v>
      </c>
      <c r="G13" s="23" t="s">
        <v>127</v>
      </c>
      <c r="H13" s="21" t="s">
        <v>147</v>
      </c>
      <c r="I13" s="23" t="s">
        <v>115</v>
      </c>
      <c r="J13" s="21" t="s">
        <v>100</v>
      </c>
      <c r="K13" s="50">
        <v>48</v>
      </c>
      <c r="L13" s="21">
        <v>74</v>
      </c>
      <c r="M13" s="24">
        <f t="shared" si="0"/>
        <v>0.64864864864864868</v>
      </c>
      <c r="N13" s="25">
        <f t="shared" si="1"/>
        <v>110.99999999999996</v>
      </c>
      <c r="O13" s="26">
        <v>0.9291666666666667</v>
      </c>
      <c r="P13" s="26">
        <v>0.95694444444444449</v>
      </c>
      <c r="Q13" s="59">
        <f t="shared" si="2"/>
        <v>2.777777777777779E-2</v>
      </c>
      <c r="R13" s="27" t="s">
        <v>250</v>
      </c>
      <c r="S13" s="27" t="s">
        <v>247</v>
      </c>
      <c r="W13" s="21" t="s">
        <v>681</v>
      </c>
      <c r="X13" s="193" t="s">
        <v>749</v>
      </c>
      <c r="AD13" s="25">
        <f t="shared" si="3"/>
        <v>83.333333333333371</v>
      </c>
    </row>
    <row r="14" spans="1:31" s="21" customFormat="1" x14ac:dyDescent="0.25">
      <c r="A14" s="21">
        <v>12</v>
      </c>
      <c r="B14" s="21">
        <v>12</v>
      </c>
      <c r="C14" s="22">
        <v>45049</v>
      </c>
      <c r="D14" s="50" t="s">
        <v>5</v>
      </c>
      <c r="E14" s="51" t="s">
        <v>16</v>
      </c>
      <c r="F14" s="21" t="s">
        <v>20</v>
      </c>
      <c r="G14" s="23" t="s">
        <v>127</v>
      </c>
      <c r="H14" s="21" t="s">
        <v>147</v>
      </c>
      <c r="I14" s="23" t="s">
        <v>115</v>
      </c>
      <c r="J14" s="21" t="s">
        <v>101</v>
      </c>
      <c r="K14" s="50">
        <v>54</v>
      </c>
      <c r="L14" s="21">
        <v>74</v>
      </c>
      <c r="M14" s="24">
        <f t="shared" si="0"/>
        <v>0.72972972972972971</v>
      </c>
      <c r="N14" s="25">
        <f t="shared" si="1"/>
        <v>92.500000000000014</v>
      </c>
      <c r="O14" s="26">
        <v>0.33680555555555558</v>
      </c>
      <c r="P14" s="26">
        <v>0.37013888888888891</v>
      </c>
      <c r="Q14" s="59">
        <f t="shared" si="2"/>
        <v>3.3333333333333326E-2</v>
      </c>
      <c r="R14" s="27" t="s">
        <v>250</v>
      </c>
      <c r="S14" s="27" t="s">
        <v>247</v>
      </c>
      <c r="T14" s="21" t="s">
        <v>242</v>
      </c>
      <c r="W14" s="21" t="s">
        <v>681</v>
      </c>
      <c r="X14" s="193" t="s">
        <v>750</v>
      </c>
      <c r="AD14" s="25">
        <f t="shared" si="3"/>
        <v>99.999999999999972</v>
      </c>
    </row>
    <row r="15" spans="1:31" s="21" customFormat="1" x14ac:dyDescent="0.25">
      <c r="A15" s="21">
        <v>13</v>
      </c>
      <c r="B15" s="21">
        <v>13</v>
      </c>
      <c r="C15" s="22">
        <v>45102</v>
      </c>
      <c r="D15" s="50" t="s">
        <v>235</v>
      </c>
      <c r="E15" s="51" t="s">
        <v>238</v>
      </c>
      <c r="F15" s="21" t="s">
        <v>237</v>
      </c>
      <c r="G15" s="23" t="s">
        <v>232</v>
      </c>
      <c r="H15" s="21" t="s">
        <v>227</v>
      </c>
      <c r="I15" s="23" t="s">
        <v>115</v>
      </c>
      <c r="J15" s="21" t="s">
        <v>236</v>
      </c>
      <c r="K15" s="50">
        <v>39</v>
      </c>
      <c r="L15" s="21">
        <v>88</v>
      </c>
      <c r="M15" s="24">
        <f t="shared" si="0"/>
        <v>0.44318181818181818</v>
      </c>
      <c r="N15" s="25">
        <f t="shared" si="1"/>
        <v>176.00000000000063</v>
      </c>
      <c r="O15" s="26">
        <v>0.61319444444444449</v>
      </c>
      <c r="P15" s="26">
        <v>0.63402777777777775</v>
      </c>
      <c r="Q15" s="59">
        <f t="shared" si="2"/>
        <v>2.0833333333333259E-2</v>
      </c>
      <c r="R15" s="28" t="s">
        <v>245</v>
      </c>
      <c r="S15" s="28" t="s">
        <v>246</v>
      </c>
      <c r="T15" s="21" t="s">
        <v>242</v>
      </c>
      <c r="W15" s="21" t="s">
        <v>702</v>
      </c>
      <c r="X15" s="193" t="s">
        <v>751</v>
      </c>
      <c r="Y15" s="21" t="s">
        <v>239</v>
      </c>
      <c r="AD15" s="25">
        <f t="shared" si="3"/>
        <v>62.49999999999978</v>
      </c>
    </row>
    <row r="16" spans="1:31" s="21" customFormat="1" x14ac:dyDescent="0.25">
      <c r="A16" s="21">
        <v>14</v>
      </c>
      <c r="B16" s="21">
        <v>14</v>
      </c>
      <c r="C16" s="22">
        <v>45104</v>
      </c>
      <c r="D16" s="50" t="s">
        <v>24</v>
      </c>
      <c r="E16" s="51" t="s">
        <v>26</v>
      </c>
      <c r="F16" s="21" t="s">
        <v>27</v>
      </c>
      <c r="G16" s="30" t="s">
        <v>128</v>
      </c>
      <c r="H16" s="21" t="s">
        <v>153</v>
      </c>
      <c r="I16" s="23" t="s">
        <v>115</v>
      </c>
      <c r="J16" s="21" t="s">
        <v>102</v>
      </c>
      <c r="K16" s="50">
        <v>13</v>
      </c>
      <c r="L16" s="21">
        <v>29</v>
      </c>
      <c r="M16" s="24">
        <f t="shared" si="0"/>
        <v>0.44827586206896552</v>
      </c>
      <c r="N16" s="25">
        <f t="shared" si="1"/>
        <v>158.18181818181876</v>
      </c>
      <c r="O16" s="26">
        <v>0.59236111111111112</v>
      </c>
      <c r="P16" s="26">
        <v>0.6</v>
      </c>
      <c r="Q16" s="59">
        <f t="shared" si="2"/>
        <v>7.6388888888888618E-3</v>
      </c>
      <c r="R16" s="31" t="s">
        <v>164</v>
      </c>
      <c r="S16" s="31" t="s">
        <v>251</v>
      </c>
      <c r="W16" s="21" t="s">
        <v>683</v>
      </c>
      <c r="X16" s="193" t="s">
        <v>752</v>
      </c>
      <c r="Y16" s="21" t="s">
        <v>155</v>
      </c>
      <c r="AD16" s="25">
        <f t="shared" si="3"/>
        <v>22.916666666666586</v>
      </c>
    </row>
    <row r="17" spans="1:31" s="21" customFormat="1" x14ac:dyDescent="0.25">
      <c r="A17" s="21">
        <v>15</v>
      </c>
      <c r="B17" s="21">
        <v>15</v>
      </c>
      <c r="C17" s="22">
        <v>45106</v>
      </c>
      <c r="D17" s="50" t="s">
        <v>26</v>
      </c>
      <c r="E17" s="51" t="s">
        <v>33</v>
      </c>
      <c r="F17" s="21" t="s">
        <v>34</v>
      </c>
      <c r="G17" s="23" t="s">
        <v>127</v>
      </c>
      <c r="H17" s="21" t="s">
        <v>154</v>
      </c>
      <c r="I17" s="23" t="s">
        <v>115</v>
      </c>
      <c r="K17" s="50">
        <v>9</v>
      </c>
      <c r="L17" s="21">
        <v>25</v>
      </c>
      <c r="M17" s="24">
        <f t="shared" si="0"/>
        <v>0.36</v>
      </c>
      <c r="N17" s="25">
        <f t="shared" si="1"/>
        <v>136.36363636363586</v>
      </c>
      <c r="O17" s="26">
        <v>0.39513888888888887</v>
      </c>
      <c r="P17" s="26">
        <v>0.40277777777777779</v>
      </c>
      <c r="Q17" s="59">
        <f t="shared" si="2"/>
        <v>7.6388888888889173E-3</v>
      </c>
      <c r="R17" s="31" t="s">
        <v>252</v>
      </c>
      <c r="S17" s="31" t="s">
        <v>251</v>
      </c>
      <c r="W17" s="21" t="s">
        <v>684</v>
      </c>
      <c r="X17" s="193" t="s">
        <v>753</v>
      </c>
      <c r="AD17" s="25">
        <f t="shared" si="3"/>
        <v>22.916666666666753</v>
      </c>
    </row>
    <row r="18" spans="1:31" s="35" customFormat="1" x14ac:dyDescent="0.25">
      <c r="A18" s="21">
        <v>16</v>
      </c>
      <c r="B18" s="21">
        <v>16</v>
      </c>
      <c r="C18" s="36">
        <v>45107</v>
      </c>
      <c r="D18" s="52" t="s">
        <v>26</v>
      </c>
      <c r="E18" s="53" t="s">
        <v>36</v>
      </c>
      <c r="F18" s="35" t="s">
        <v>220</v>
      </c>
      <c r="G18" s="40" t="s">
        <v>128</v>
      </c>
      <c r="H18" s="35" t="s">
        <v>224</v>
      </c>
      <c r="I18" s="75" t="s">
        <v>115</v>
      </c>
      <c r="J18" s="35" t="s">
        <v>221</v>
      </c>
      <c r="K18" s="52">
        <v>21</v>
      </c>
      <c r="L18" s="35">
        <v>42</v>
      </c>
      <c r="M18" s="37">
        <f t="shared" si="0"/>
        <v>0.5</v>
      </c>
      <c r="N18" s="38">
        <f t="shared" si="1"/>
        <v>96.923076923076962</v>
      </c>
      <c r="O18" s="39">
        <v>0.36736111111111114</v>
      </c>
      <c r="P18" s="39">
        <v>0.38541666666666669</v>
      </c>
      <c r="Q18" s="60">
        <f t="shared" si="2"/>
        <v>1.8055555555555547E-2</v>
      </c>
      <c r="R18" s="83" t="s">
        <v>252</v>
      </c>
      <c r="S18" s="83" t="s">
        <v>251</v>
      </c>
      <c r="W18" s="35" t="s">
        <v>685</v>
      </c>
      <c r="X18" s="194" t="s">
        <v>754</v>
      </c>
      <c r="AD18" s="38">
        <f t="shared" si="3"/>
        <v>54.166666666666643</v>
      </c>
    </row>
    <row r="19" spans="1:31" s="15" customFormat="1" x14ac:dyDescent="0.25">
      <c r="A19" s="21">
        <v>17</v>
      </c>
      <c r="B19" s="21">
        <v>17</v>
      </c>
      <c r="C19" s="16">
        <v>45107</v>
      </c>
      <c r="D19" s="48" t="s">
        <v>36</v>
      </c>
      <c r="E19" s="49" t="s">
        <v>38</v>
      </c>
      <c r="F19" s="15" t="s">
        <v>152</v>
      </c>
      <c r="G19" s="42" t="s">
        <v>128</v>
      </c>
      <c r="H19" s="15" t="s">
        <v>153</v>
      </c>
      <c r="I19" s="17" t="s">
        <v>115</v>
      </c>
      <c r="J19" s="15" t="s">
        <v>222</v>
      </c>
      <c r="K19" s="48">
        <v>88</v>
      </c>
      <c r="L19" s="15">
        <v>174</v>
      </c>
      <c r="M19" s="18">
        <f t="shared" si="0"/>
        <v>0.50574712643678166</v>
      </c>
      <c r="N19" s="19">
        <f t="shared" si="1"/>
        <v>163.12499999999977</v>
      </c>
      <c r="O19" s="20">
        <v>0.82291666666666663</v>
      </c>
      <c r="P19" s="20">
        <v>0.86736111111111114</v>
      </c>
      <c r="Q19" s="58">
        <f t="shared" si="2"/>
        <v>4.4444444444444509E-2</v>
      </c>
      <c r="R19" s="84" t="s">
        <v>252</v>
      </c>
      <c r="S19" s="84" t="s">
        <v>251</v>
      </c>
      <c r="W19" s="15" t="s">
        <v>686</v>
      </c>
      <c r="X19" s="195" t="s">
        <v>755</v>
      </c>
      <c r="Y19" s="15" t="s">
        <v>146</v>
      </c>
      <c r="AD19" s="19">
        <f t="shared" si="3"/>
        <v>133.33333333333351</v>
      </c>
    </row>
    <row r="20" spans="1:31" s="21" customFormat="1" x14ac:dyDescent="0.25">
      <c r="A20" s="21">
        <v>18</v>
      </c>
      <c r="B20" s="21">
        <v>18</v>
      </c>
      <c r="C20" s="22">
        <v>45121</v>
      </c>
      <c r="D20" s="50" t="s">
        <v>16</v>
      </c>
      <c r="E20" s="51" t="s">
        <v>29</v>
      </c>
      <c r="F20" s="21" t="s">
        <v>31</v>
      </c>
      <c r="G20" s="30" t="s">
        <v>128</v>
      </c>
      <c r="H20" s="21" t="s">
        <v>148</v>
      </c>
      <c r="I20" s="23" t="s">
        <v>115</v>
      </c>
      <c r="J20" s="21" t="s">
        <v>103</v>
      </c>
      <c r="K20" s="50">
        <v>388.5</v>
      </c>
      <c r="L20" s="21">
        <v>809</v>
      </c>
      <c r="M20" s="24">
        <f t="shared" si="0"/>
        <v>0.48022249690976515</v>
      </c>
      <c r="N20" s="25">
        <f t="shared" si="1"/>
        <v>234.49275362318843</v>
      </c>
      <c r="O20" s="26">
        <v>0.3840277777777778</v>
      </c>
      <c r="P20" s="26">
        <v>0.52777777777777779</v>
      </c>
      <c r="Q20" s="59">
        <f t="shared" si="2"/>
        <v>0.14374999999999999</v>
      </c>
      <c r="R20" s="32" t="s">
        <v>165</v>
      </c>
      <c r="S20" s="33" t="s">
        <v>253</v>
      </c>
      <c r="W20" s="21" t="s">
        <v>687</v>
      </c>
      <c r="X20" s="193" t="s">
        <v>756</v>
      </c>
      <c r="AB20" s="21" t="s">
        <v>151</v>
      </c>
      <c r="AD20" s="25">
        <f t="shared" si="3"/>
        <v>431.24999999999994</v>
      </c>
    </row>
    <row r="21" spans="1:31" s="21" customFormat="1" x14ac:dyDescent="0.25">
      <c r="A21" s="21">
        <v>19</v>
      </c>
      <c r="B21" s="21">
        <v>19</v>
      </c>
      <c r="C21" s="22">
        <v>45123</v>
      </c>
      <c r="D21" s="50" t="s">
        <v>29</v>
      </c>
      <c r="E21" s="51" t="s">
        <v>16</v>
      </c>
      <c r="F21" s="21" t="s">
        <v>30</v>
      </c>
      <c r="G21" s="30" t="s">
        <v>128</v>
      </c>
      <c r="H21" s="21" t="s">
        <v>150</v>
      </c>
      <c r="I21" s="23" t="s">
        <v>115</v>
      </c>
      <c r="J21" s="21" t="s">
        <v>104</v>
      </c>
      <c r="K21" s="50">
        <v>388.5</v>
      </c>
      <c r="L21" s="21">
        <v>809</v>
      </c>
      <c r="M21" s="24">
        <f t="shared" si="0"/>
        <v>0.48022249690976515</v>
      </c>
      <c r="N21" s="25">
        <f t="shared" si="1"/>
        <v>219.63800904977373</v>
      </c>
      <c r="O21" s="26">
        <v>0.80833333333333335</v>
      </c>
      <c r="P21" s="26">
        <v>0.96180555555555558</v>
      </c>
      <c r="Q21" s="59">
        <f t="shared" si="2"/>
        <v>0.15347222222222223</v>
      </c>
      <c r="R21" s="34" t="s">
        <v>297</v>
      </c>
      <c r="S21" s="34" t="s">
        <v>298</v>
      </c>
      <c r="W21" s="21" t="s">
        <v>687</v>
      </c>
      <c r="X21" s="193" t="s">
        <v>757</v>
      </c>
      <c r="AD21" s="25">
        <f t="shared" si="3"/>
        <v>460.41666666666669</v>
      </c>
    </row>
    <row r="22" spans="1:31" s="21" customFormat="1" x14ac:dyDescent="0.25">
      <c r="A22" s="21">
        <v>20</v>
      </c>
      <c r="B22" s="21">
        <v>20</v>
      </c>
      <c r="C22" s="22">
        <v>45131</v>
      </c>
      <c r="D22" s="50" t="s">
        <v>16</v>
      </c>
      <c r="E22" s="51" t="s">
        <v>5</v>
      </c>
      <c r="F22" s="21" t="s">
        <v>45</v>
      </c>
      <c r="G22" s="23" t="s">
        <v>127</v>
      </c>
      <c r="H22" s="21" t="s">
        <v>147</v>
      </c>
      <c r="I22" s="23" t="s">
        <v>115</v>
      </c>
      <c r="J22" s="21" t="s">
        <v>105</v>
      </c>
      <c r="K22" s="50">
        <v>45</v>
      </c>
      <c r="L22" s="21">
        <v>74</v>
      </c>
      <c r="M22" s="24">
        <f t="shared" si="0"/>
        <v>0.60810810810810811</v>
      </c>
      <c r="N22" s="25">
        <f t="shared" si="1"/>
        <v>113.84615384615425</v>
      </c>
      <c r="O22" s="26">
        <v>0.70486111111111116</v>
      </c>
      <c r="P22" s="26">
        <v>0.7319444444444444</v>
      </c>
      <c r="Q22" s="59">
        <f t="shared" si="2"/>
        <v>2.7083333333333237E-2</v>
      </c>
      <c r="R22" s="27" t="s">
        <v>250</v>
      </c>
      <c r="S22" s="27" t="s">
        <v>247</v>
      </c>
      <c r="W22" s="21" t="s">
        <v>681</v>
      </c>
      <c r="X22" s="193" t="s">
        <v>749</v>
      </c>
      <c r="AD22" s="25">
        <f t="shared" si="3"/>
        <v>81.249999999999716</v>
      </c>
    </row>
    <row r="23" spans="1:31" s="35" customFormat="1" x14ac:dyDescent="0.25">
      <c r="A23" s="21">
        <v>21</v>
      </c>
      <c r="B23" s="21">
        <v>21</v>
      </c>
      <c r="C23" s="36">
        <v>45133</v>
      </c>
      <c r="D23" s="52" t="s">
        <v>5</v>
      </c>
      <c r="E23" s="53" t="s">
        <v>40</v>
      </c>
      <c r="F23" s="35" t="s">
        <v>41</v>
      </c>
      <c r="G23" s="78" t="s">
        <v>129</v>
      </c>
      <c r="H23" s="35" t="s">
        <v>137</v>
      </c>
      <c r="I23" s="75" t="s">
        <v>115</v>
      </c>
      <c r="J23" s="35" t="s">
        <v>106</v>
      </c>
      <c r="K23" s="52">
        <v>45.5</v>
      </c>
      <c r="L23" s="35">
        <v>71</v>
      </c>
      <c r="M23" s="37">
        <f t="shared" si="0"/>
        <v>0.64084507042253525</v>
      </c>
      <c r="N23" s="38">
        <f t="shared" si="1"/>
        <v>86.938775510203968</v>
      </c>
      <c r="O23" s="39">
        <v>0.44374999999999998</v>
      </c>
      <c r="P23" s="39">
        <v>0.4777777777777778</v>
      </c>
      <c r="Q23" s="60">
        <f t="shared" si="2"/>
        <v>3.4027777777777823E-2</v>
      </c>
      <c r="R23" s="81" t="s">
        <v>250</v>
      </c>
      <c r="S23" s="81" t="s">
        <v>247</v>
      </c>
      <c r="W23" s="35" t="s">
        <v>688</v>
      </c>
      <c r="X23" s="194" t="s">
        <v>758</v>
      </c>
      <c r="AD23" s="38">
        <f t="shared" si="3"/>
        <v>102.08333333333347</v>
      </c>
    </row>
    <row r="24" spans="1:31" s="15" customFormat="1" x14ac:dyDescent="0.25">
      <c r="A24" s="15">
        <v>22</v>
      </c>
      <c r="B24" s="15">
        <v>22</v>
      </c>
      <c r="C24" s="16">
        <v>45133</v>
      </c>
      <c r="D24" s="48" t="s">
        <v>40</v>
      </c>
      <c r="E24" s="49" t="s">
        <v>43</v>
      </c>
      <c r="F24" s="15" t="s">
        <v>44</v>
      </c>
      <c r="G24" s="79" t="s">
        <v>130</v>
      </c>
      <c r="H24" s="15" t="s">
        <v>149</v>
      </c>
      <c r="I24" s="86" t="s">
        <v>116</v>
      </c>
      <c r="J24" s="15" t="s">
        <v>117</v>
      </c>
      <c r="K24" s="48">
        <v>91.5</v>
      </c>
      <c r="L24" s="15">
        <v>246</v>
      </c>
      <c r="M24" s="18">
        <f t="shared" si="0"/>
        <v>0.37195121951219512</v>
      </c>
      <c r="N24" s="19">
        <f t="shared" si="1"/>
        <v>71.304347826086939</v>
      </c>
      <c r="O24" s="20">
        <v>0.50763888888888886</v>
      </c>
      <c r="P24" s="20">
        <v>0.65138888888888891</v>
      </c>
      <c r="Q24" s="58">
        <f t="shared" si="2"/>
        <v>0.14375000000000004</v>
      </c>
      <c r="R24" s="82" t="s">
        <v>257</v>
      </c>
      <c r="S24" s="82" t="s">
        <v>258</v>
      </c>
      <c r="T24" s="15" t="s">
        <v>242</v>
      </c>
      <c r="W24" s="15" t="s">
        <v>689</v>
      </c>
      <c r="X24" s="195" t="s">
        <v>759</v>
      </c>
      <c r="AD24" s="19">
        <f t="shared" si="3"/>
        <v>431.25000000000011</v>
      </c>
    </row>
    <row r="25" spans="1:31" s="35" customFormat="1" x14ac:dyDescent="0.25">
      <c r="A25" s="282">
        <v>23</v>
      </c>
      <c r="B25" s="35">
        <v>23</v>
      </c>
      <c r="C25" s="36">
        <v>45156</v>
      </c>
      <c r="D25" s="52" t="s">
        <v>48</v>
      </c>
      <c r="E25" s="53" t="s">
        <v>50</v>
      </c>
      <c r="F25" s="35" t="s">
        <v>51</v>
      </c>
      <c r="G25" s="40" t="s">
        <v>128</v>
      </c>
      <c r="H25" s="35" t="s">
        <v>148</v>
      </c>
      <c r="I25" s="75" t="s">
        <v>115</v>
      </c>
      <c r="J25" s="35" t="s">
        <v>107</v>
      </c>
      <c r="K25" s="52">
        <v>88</v>
      </c>
      <c r="L25" s="35">
        <v>148</v>
      </c>
      <c r="M25" s="37">
        <f t="shared" si="0"/>
        <v>0.59459459459459463</v>
      </c>
      <c r="N25" s="38">
        <f t="shared" si="1"/>
        <v>167.5471698113206</v>
      </c>
      <c r="O25" s="39">
        <v>0.39305555555555555</v>
      </c>
      <c r="P25" s="39">
        <v>0.42986111111111114</v>
      </c>
      <c r="Q25" s="60">
        <f t="shared" si="2"/>
        <v>3.6805555555555591E-2</v>
      </c>
      <c r="R25" s="41" t="s">
        <v>250</v>
      </c>
      <c r="S25" s="41" t="s">
        <v>253</v>
      </c>
      <c r="W25" s="35" t="s">
        <v>690</v>
      </c>
      <c r="X25" s="194" t="s">
        <v>760</v>
      </c>
      <c r="AD25" s="38">
        <f t="shared" si="3"/>
        <v>110.41666666666677</v>
      </c>
    </row>
    <row r="26" spans="1:31" x14ac:dyDescent="0.25">
      <c r="A26" s="281"/>
      <c r="B26" s="162">
        <v>24</v>
      </c>
      <c r="C26" s="166">
        <v>45156</v>
      </c>
      <c r="D26" s="46" t="s">
        <v>50</v>
      </c>
      <c r="E26" s="47" t="s">
        <v>16</v>
      </c>
      <c r="F26" s="162" t="s">
        <v>51</v>
      </c>
      <c r="G26" s="129" t="s">
        <v>128</v>
      </c>
      <c r="H26" s="162" t="s">
        <v>148</v>
      </c>
      <c r="I26" s="165" t="s">
        <v>53</v>
      </c>
      <c r="J26" s="162" t="s">
        <v>52</v>
      </c>
      <c r="K26" s="46">
        <v>131.5</v>
      </c>
      <c r="L26" s="162">
        <v>177</v>
      </c>
      <c r="M26" s="164">
        <f t="shared" si="0"/>
        <v>0.74293785310734461</v>
      </c>
      <c r="N26" s="134">
        <f t="shared" si="1"/>
        <v>112.97872340425533</v>
      </c>
      <c r="O26" s="169">
        <v>0.43125000000000002</v>
      </c>
      <c r="P26" s="169">
        <v>0.49652777777777779</v>
      </c>
      <c r="Q26" s="57">
        <f t="shared" si="2"/>
        <v>6.5277777777777768E-2</v>
      </c>
      <c r="R26" s="171" t="s">
        <v>250</v>
      </c>
      <c r="S26" s="171" t="s">
        <v>253</v>
      </c>
      <c r="T26" s="162"/>
      <c r="U26" s="162"/>
      <c r="V26" s="162"/>
      <c r="W26" s="162" t="s">
        <v>691</v>
      </c>
      <c r="X26" s="196" t="s">
        <v>761</v>
      </c>
      <c r="AD26" s="5">
        <f t="shared" si="3"/>
        <v>195.83333333333331</v>
      </c>
    </row>
    <row r="27" spans="1:31" s="15" customFormat="1" x14ac:dyDescent="0.25">
      <c r="A27" s="21">
        <v>24</v>
      </c>
      <c r="B27" s="21">
        <v>25</v>
      </c>
      <c r="C27" s="16">
        <v>45156</v>
      </c>
      <c r="D27" s="48" t="s">
        <v>16</v>
      </c>
      <c r="E27" s="49" t="s">
        <v>5</v>
      </c>
      <c r="F27" s="15" t="s">
        <v>46</v>
      </c>
      <c r="G27" s="17" t="s">
        <v>127</v>
      </c>
      <c r="H27" s="15" t="s">
        <v>147</v>
      </c>
      <c r="I27" s="17" t="s">
        <v>115</v>
      </c>
      <c r="J27" s="15" t="s">
        <v>108</v>
      </c>
      <c r="K27" s="48">
        <v>45</v>
      </c>
      <c r="L27" s="15">
        <v>74</v>
      </c>
      <c r="M27" s="18">
        <f t="shared" si="0"/>
        <v>0.60810810810810811</v>
      </c>
      <c r="N27" s="19">
        <f t="shared" si="1"/>
        <v>113.84615384615378</v>
      </c>
      <c r="O27" s="20">
        <v>0.76388888888888884</v>
      </c>
      <c r="P27" s="20">
        <v>0.79097222222222219</v>
      </c>
      <c r="Q27" s="58">
        <f t="shared" si="2"/>
        <v>2.7083333333333348E-2</v>
      </c>
      <c r="R27" s="71" t="s">
        <v>250</v>
      </c>
      <c r="S27" s="71" t="s">
        <v>247</v>
      </c>
      <c r="W27" s="15" t="s">
        <v>681</v>
      </c>
      <c r="X27" s="195" t="s">
        <v>749</v>
      </c>
      <c r="AD27" s="19">
        <f t="shared" si="3"/>
        <v>81.250000000000043</v>
      </c>
    </row>
    <row r="28" spans="1:31" s="21" customFormat="1" x14ac:dyDescent="0.25">
      <c r="A28" s="21">
        <v>25</v>
      </c>
      <c r="B28" s="21">
        <v>26</v>
      </c>
      <c r="C28" s="22">
        <v>45163</v>
      </c>
      <c r="D28" s="50" t="s">
        <v>5</v>
      </c>
      <c r="E28" s="51" t="s">
        <v>16</v>
      </c>
      <c r="F28" s="21" t="s">
        <v>54</v>
      </c>
      <c r="G28" s="23" t="s">
        <v>127</v>
      </c>
      <c r="H28" s="21" t="s">
        <v>145</v>
      </c>
      <c r="I28" s="23" t="s">
        <v>115</v>
      </c>
      <c r="J28" s="21" t="s">
        <v>109</v>
      </c>
      <c r="K28" s="50">
        <v>54</v>
      </c>
      <c r="L28" s="21">
        <v>74</v>
      </c>
      <c r="M28" s="24">
        <f t="shared" si="0"/>
        <v>0.72972972972972971</v>
      </c>
      <c r="N28" s="25">
        <f t="shared" si="1"/>
        <v>90.612244897959059</v>
      </c>
      <c r="O28" s="26">
        <v>0.48472222222222222</v>
      </c>
      <c r="P28" s="26">
        <v>0.51875000000000004</v>
      </c>
      <c r="Q28" s="59">
        <f t="shared" si="2"/>
        <v>3.4027777777777823E-2</v>
      </c>
      <c r="R28" s="28" t="s">
        <v>245</v>
      </c>
      <c r="S28" s="28" t="s">
        <v>259</v>
      </c>
      <c r="T28" s="21" t="s">
        <v>242</v>
      </c>
      <c r="W28" s="21" t="s">
        <v>681</v>
      </c>
      <c r="X28" s="193" t="s">
        <v>750</v>
      </c>
      <c r="Y28" s="21" t="s">
        <v>146</v>
      </c>
      <c r="AD28" s="25">
        <f t="shared" si="3"/>
        <v>102.08333333333347</v>
      </c>
    </row>
    <row r="29" spans="1:31" s="21" customFormat="1" x14ac:dyDescent="0.25">
      <c r="A29" s="21">
        <v>26</v>
      </c>
      <c r="B29" s="21">
        <v>27</v>
      </c>
      <c r="C29" s="22">
        <v>45184</v>
      </c>
      <c r="D29" s="50" t="s">
        <v>16</v>
      </c>
      <c r="E29" s="51" t="s">
        <v>5</v>
      </c>
      <c r="F29" s="21" t="s">
        <v>55</v>
      </c>
      <c r="G29" s="30" t="s">
        <v>128</v>
      </c>
      <c r="H29" s="21" t="s">
        <v>144</v>
      </c>
      <c r="I29" s="23" t="s">
        <v>115</v>
      </c>
      <c r="J29" s="21" t="s">
        <v>110</v>
      </c>
      <c r="K29" s="50">
        <v>58</v>
      </c>
      <c r="L29" s="21">
        <v>74</v>
      </c>
      <c r="M29" s="24">
        <f t="shared" si="0"/>
        <v>0.78378378378378377</v>
      </c>
      <c r="N29" s="25">
        <f t="shared" si="1"/>
        <v>113.84615384615425</v>
      </c>
      <c r="O29" s="26">
        <v>0.61250000000000004</v>
      </c>
      <c r="P29" s="26">
        <v>0.63958333333333328</v>
      </c>
      <c r="Q29" s="59">
        <f t="shared" si="2"/>
        <v>2.7083333333333237E-2</v>
      </c>
      <c r="R29" s="27" t="s">
        <v>165</v>
      </c>
      <c r="S29" s="27" t="s">
        <v>247</v>
      </c>
      <c r="T29" s="21" t="s">
        <v>639</v>
      </c>
      <c r="W29" s="21" t="s">
        <v>681</v>
      </c>
      <c r="X29" s="193" t="s">
        <v>749</v>
      </c>
      <c r="AD29" s="25">
        <f t="shared" si="3"/>
        <v>81.249999999999716</v>
      </c>
    </row>
    <row r="30" spans="1:31" s="21" customFormat="1" x14ac:dyDescent="0.25">
      <c r="A30" s="21">
        <v>27</v>
      </c>
      <c r="B30" s="21">
        <v>28</v>
      </c>
      <c r="C30" s="22">
        <v>45186</v>
      </c>
      <c r="D30" s="50" t="s">
        <v>5</v>
      </c>
      <c r="E30" s="51" t="s">
        <v>16</v>
      </c>
      <c r="F30" s="21" t="s">
        <v>56</v>
      </c>
      <c r="G30" s="30" t="s">
        <v>128</v>
      </c>
      <c r="H30" s="21" t="s">
        <v>144</v>
      </c>
      <c r="I30" s="23" t="s">
        <v>115</v>
      </c>
      <c r="J30" s="21" t="s">
        <v>111</v>
      </c>
      <c r="K30" s="50">
        <v>58</v>
      </c>
      <c r="L30" s="21">
        <v>74</v>
      </c>
      <c r="M30" s="24">
        <f t="shared" si="0"/>
        <v>0.78378378378378377</v>
      </c>
      <c r="N30" s="25">
        <f t="shared" si="1"/>
        <v>82.222222222222271</v>
      </c>
      <c r="O30" s="26">
        <v>0.59444444444444444</v>
      </c>
      <c r="P30" s="26">
        <v>0.63194444444444442</v>
      </c>
      <c r="Q30" s="59">
        <f t="shared" si="2"/>
        <v>3.7499999999999978E-2</v>
      </c>
      <c r="R30" s="27" t="s">
        <v>250</v>
      </c>
      <c r="S30" s="27" t="s">
        <v>247</v>
      </c>
      <c r="T30" s="21" t="s">
        <v>639</v>
      </c>
      <c r="V30" s="21" t="s">
        <v>306</v>
      </c>
      <c r="W30" s="21" t="s">
        <v>681</v>
      </c>
      <c r="X30" s="193" t="s">
        <v>750</v>
      </c>
      <c r="AD30" s="25">
        <f t="shared" si="3"/>
        <v>112.49999999999993</v>
      </c>
    </row>
    <row r="31" spans="1:31" s="35" customFormat="1" x14ac:dyDescent="0.25">
      <c r="A31" s="35">
        <v>28</v>
      </c>
      <c r="B31" s="35">
        <v>29</v>
      </c>
      <c r="C31" s="36">
        <v>45197</v>
      </c>
      <c r="D31" s="52" t="s">
        <v>16</v>
      </c>
      <c r="E31" s="53" t="s">
        <v>58</v>
      </c>
      <c r="F31" s="35" t="s">
        <v>59</v>
      </c>
      <c r="G31" s="40" t="s">
        <v>128</v>
      </c>
      <c r="H31" s="35" t="s">
        <v>143</v>
      </c>
      <c r="I31" s="75" t="s">
        <v>115</v>
      </c>
      <c r="J31" s="35" t="s">
        <v>112</v>
      </c>
      <c r="K31" s="52">
        <v>39.5</v>
      </c>
      <c r="L31" s="35">
        <v>52</v>
      </c>
      <c r="M31" s="37">
        <f t="shared" si="0"/>
        <v>0.75961538461538458</v>
      </c>
      <c r="N31" s="38">
        <f t="shared" si="1"/>
        <v>183.5294117647048</v>
      </c>
      <c r="O31" s="39">
        <v>0.88472222222222219</v>
      </c>
      <c r="P31" s="39">
        <v>0.89652777777777781</v>
      </c>
      <c r="Q31" s="60">
        <f t="shared" si="2"/>
        <v>1.1805555555555625E-2</v>
      </c>
      <c r="R31" s="43" t="s">
        <v>165</v>
      </c>
      <c r="S31" s="43" t="s">
        <v>260</v>
      </c>
      <c r="T31" s="35" t="s">
        <v>242</v>
      </c>
      <c r="W31" s="35" t="s">
        <v>692</v>
      </c>
      <c r="X31" s="194" t="s">
        <v>762</v>
      </c>
      <c r="AD31" s="38">
        <f t="shared" si="3"/>
        <v>35.41666666666687</v>
      </c>
    </row>
    <row r="32" spans="1:31" s="35" customFormat="1" x14ac:dyDescent="0.25">
      <c r="A32" s="35">
        <v>29</v>
      </c>
      <c r="B32" s="35">
        <v>30</v>
      </c>
      <c r="C32" s="36">
        <v>45203</v>
      </c>
      <c r="D32" s="52" t="s">
        <v>43</v>
      </c>
      <c r="E32" s="53" t="s">
        <v>61</v>
      </c>
      <c r="F32" s="35" t="s">
        <v>62</v>
      </c>
      <c r="G32" s="72" t="s">
        <v>131</v>
      </c>
      <c r="H32" s="35" t="s">
        <v>138</v>
      </c>
      <c r="I32" s="72" t="s">
        <v>118</v>
      </c>
      <c r="J32" s="35" t="s">
        <v>119</v>
      </c>
      <c r="K32" s="52">
        <v>22.5</v>
      </c>
      <c r="L32" s="35">
        <v>115</v>
      </c>
      <c r="M32" s="37">
        <f t="shared" si="0"/>
        <v>0.19565217391304349</v>
      </c>
      <c r="N32" s="38">
        <f t="shared" si="1"/>
        <v>78.409090909090978</v>
      </c>
      <c r="O32" s="39">
        <v>0.44861111111111113</v>
      </c>
      <c r="P32" s="39">
        <v>0.50972222222222219</v>
      </c>
      <c r="Q32" s="60">
        <f t="shared" si="2"/>
        <v>6.1111111111111061E-2</v>
      </c>
      <c r="R32" s="43" t="s">
        <v>250</v>
      </c>
      <c r="S32" s="43" t="s">
        <v>260</v>
      </c>
      <c r="W32" s="35" t="s">
        <v>693</v>
      </c>
      <c r="X32" s="194" t="s">
        <v>763</v>
      </c>
      <c r="Y32" s="35" t="s">
        <v>139</v>
      </c>
      <c r="Z32" s="35" t="s">
        <v>140</v>
      </c>
      <c r="AA32" s="35" t="s">
        <v>141</v>
      </c>
      <c r="AB32" s="35" t="s">
        <v>142</v>
      </c>
      <c r="AD32" s="38">
        <f t="shared" si="3"/>
        <v>183.33333333333317</v>
      </c>
      <c r="AE32" s="35" t="s">
        <v>553</v>
      </c>
    </row>
    <row r="33" spans="1:31" x14ac:dyDescent="0.25">
      <c r="A33" s="282">
        <v>30</v>
      </c>
      <c r="B33" s="35">
        <v>31</v>
      </c>
      <c r="C33" s="166">
        <v>45203</v>
      </c>
      <c r="D33" s="46" t="s">
        <v>61</v>
      </c>
      <c r="E33" s="47" t="s">
        <v>64</v>
      </c>
      <c r="F33" s="162" t="s">
        <v>65</v>
      </c>
      <c r="G33" s="128" t="s">
        <v>129</v>
      </c>
      <c r="H33" s="162" t="s">
        <v>137</v>
      </c>
      <c r="I33" s="133" t="s">
        <v>115</v>
      </c>
      <c r="J33" s="162" t="s">
        <v>113</v>
      </c>
      <c r="K33" s="46">
        <v>107</v>
      </c>
      <c r="L33" s="162">
        <v>180</v>
      </c>
      <c r="M33" s="164">
        <f t="shared" si="0"/>
        <v>0.59444444444444444</v>
      </c>
      <c r="N33" s="134">
        <f t="shared" si="1"/>
        <v>163.63636363636382</v>
      </c>
      <c r="O33" s="169">
        <v>0.54791666666666672</v>
      </c>
      <c r="P33" s="169">
        <v>0.59375</v>
      </c>
      <c r="Q33" s="57">
        <f t="shared" si="2"/>
        <v>4.5833333333333282E-2</v>
      </c>
      <c r="R33" s="132" t="s">
        <v>250</v>
      </c>
      <c r="S33" s="132" t="s">
        <v>260</v>
      </c>
      <c r="T33" s="162"/>
      <c r="U33" s="162"/>
      <c r="V33" s="162"/>
      <c r="W33" s="162" t="s">
        <v>694</v>
      </c>
      <c r="X33" s="196" t="s">
        <v>764</v>
      </c>
      <c r="AD33" s="5">
        <f t="shared" si="3"/>
        <v>137.49999999999986</v>
      </c>
    </row>
    <row r="34" spans="1:31" x14ac:dyDescent="0.25">
      <c r="A34" s="283"/>
      <c r="B34" s="15">
        <v>32</v>
      </c>
      <c r="C34" s="166">
        <v>45203</v>
      </c>
      <c r="D34" s="46" t="s">
        <v>64</v>
      </c>
      <c r="E34" s="47" t="s">
        <v>67</v>
      </c>
      <c r="F34" s="162" t="s">
        <v>65</v>
      </c>
      <c r="G34" s="128" t="s">
        <v>129</v>
      </c>
      <c r="H34" s="162" t="s">
        <v>137</v>
      </c>
      <c r="I34" s="165" t="s">
        <v>53</v>
      </c>
      <c r="J34" s="162" t="s">
        <v>52</v>
      </c>
      <c r="K34" s="46">
        <v>98</v>
      </c>
      <c r="L34" s="162">
        <v>160</v>
      </c>
      <c r="M34" s="164">
        <f t="shared" ref="M34:M73" si="4">K34/L34</f>
        <v>0.61250000000000004</v>
      </c>
      <c r="N34" s="134">
        <f t="shared" si="1"/>
        <v>121.51898734177209</v>
      </c>
      <c r="O34" s="169">
        <v>0.59513888888888888</v>
      </c>
      <c r="P34" s="169">
        <v>0.65</v>
      </c>
      <c r="Q34" s="57">
        <f t="shared" si="2"/>
        <v>5.4861111111111138E-2</v>
      </c>
      <c r="R34" s="132" t="s">
        <v>250</v>
      </c>
      <c r="S34" s="132" t="s">
        <v>260</v>
      </c>
      <c r="T34" s="162"/>
      <c r="U34" s="162"/>
      <c r="V34" s="162"/>
      <c r="W34" s="162" t="s">
        <v>695</v>
      </c>
      <c r="X34" s="196" t="s">
        <v>765</v>
      </c>
      <c r="AD34" s="5">
        <f t="shared" si="3"/>
        <v>164.58333333333343</v>
      </c>
    </row>
    <row r="35" spans="1:31" s="15" customFormat="1" x14ac:dyDescent="0.25">
      <c r="A35" s="15">
        <v>31</v>
      </c>
      <c r="B35" s="15">
        <v>33</v>
      </c>
      <c r="C35" s="16">
        <v>45203</v>
      </c>
      <c r="D35" s="48" t="s">
        <v>40</v>
      </c>
      <c r="E35" s="49" t="s">
        <v>5</v>
      </c>
      <c r="F35" s="15" t="s">
        <v>68</v>
      </c>
      <c r="G35" s="74" t="s">
        <v>129</v>
      </c>
      <c r="H35" s="15" t="s">
        <v>137</v>
      </c>
      <c r="I35" s="17" t="s">
        <v>115</v>
      </c>
      <c r="J35" s="15" t="s">
        <v>120</v>
      </c>
      <c r="K35" s="48">
        <v>45.5</v>
      </c>
      <c r="L35" s="15">
        <v>71</v>
      </c>
      <c r="M35" s="18">
        <f t="shared" si="4"/>
        <v>0.64084507042253525</v>
      </c>
      <c r="N35" s="19">
        <f t="shared" si="1"/>
        <v>78.888888888888943</v>
      </c>
      <c r="O35" s="20">
        <v>0.70833333333333337</v>
      </c>
      <c r="P35" s="20">
        <v>0.74583333333333335</v>
      </c>
      <c r="Q35" s="58">
        <f t="shared" si="2"/>
        <v>3.7499999999999978E-2</v>
      </c>
      <c r="R35" s="88" t="s">
        <v>250</v>
      </c>
      <c r="S35" s="71" t="s">
        <v>247</v>
      </c>
      <c r="W35" s="15" t="s">
        <v>688</v>
      </c>
      <c r="X35" s="195" t="s">
        <v>766</v>
      </c>
      <c r="AD35" s="19">
        <f t="shared" si="3"/>
        <v>112.49999999999993</v>
      </c>
    </row>
    <row r="36" spans="1:31" s="21" customFormat="1" x14ac:dyDescent="0.25">
      <c r="A36" s="21">
        <v>32</v>
      </c>
      <c r="B36" s="21">
        <v>34</v>
      </c>
      <c r="C36" s="22">
        <v>45299</v>
      </c>
      <c r="D36" s="50" t="s">
        <v>70</v>
      </c>
      <c r="E36" s="51" t="s">
        <v>72</v>
      </c>
      <c r="F36" s="21" t="s">
        <v>73</v>
      </c>
      <c r="G36" s="23" t="s">
        <v>127</v>
      </c>
      <c r="H36" s="21" t="s">
        <v>157</v>
      </c>
      <c r="I36" s="23" t="s">
        <v>115</v>
      </c>
      <c r="J36" s="21" t="s">
        <v>121</v>
      </c>
      <c r="K36" s="50">
        <v>68</v>
      </c>
      <c r="L36" s="21">
        <v>204</v>
      </c>
      <c r="M36" s="24">
        <f t="shared" si="4"/>
        <v>0.33333333333333331</v>
      </c>
      <c r="N36" s="25">
        <f t="shared" si="1"/>
        <v>165.40540540540565</v>
      </c>
      <c r="O36" s="26">
        <v>0.77430555555555558</v>
      </c>
      <c r="P36" s="26">
        <v>0.8256944444444444</v>
      </c>
      <c r="Q36" s="59">
        <f t="shared" si="2"/>
        <v>5.1388888888888817E-2</v>
      </c>
      <c r="R36" s="44" t="s">
        <v>166</v>
      </c>
      <c r="S36" s="44" t="s">
        <v>262</v>
      </c>
      <c r="U36" s="21" t="s">
        <v>304</v>
      </c>
      <c r="V36" s="21" t="s">
        <v>304</v>
      </c>
      <c r="W36" s="21" t="s">
        <v>696</v>
      </c>
      <c r="X36" s="193" t="s">
        <v>767</v>
      </c>
      <c r="AD36" s="25">
        <f t="shared" si="3"/>
        <v>154.16666666666646</v>
      </c>
    </row>
    <row r="37" spans="1:31" s="35" customFormat="1" x14ac:dyDescent="0.25">
      <c r="A37" s="21">
        <v>33</v>
      </c>
      <c r="B37" s="21">
        <v>35</v>
      </c>
      <c r="C37" s="36">
        <v>45302</v>
      </c>
      <c r="D37" s="52" t="s">
        <v>72</v>
      </c>
      <c r="E37" s="53" t="s">
        <v>75</v>
      </c>
      <c r="F37" s="35" t="s">
        <v>76</v>
      </c>
      <c r="G37" s="75" t="s">
        <v>127</v>
      </c>
      <c r="H37" s="35" t="s">
        <v>157</v>
      </c>
      <c r="I37" s="75" t="s">
        <v>115</v>
      </c>
      <c r="J37" s="35" t="s">
        <v>122</v>
      </c>
      <c r="K37" s="52">
        <v>100</v>
      </c>
      <c r="L37" s="35">
        <v>285</v>
      </c>
      <c r="M37" s="37">
        <f t="shared" si="4"/>
        <v>0.35087719298245612</v>
      </c>
      <c r="N37" s="38">
        <f t="shared" si="1"/>
        <v>194.31818181818181</v>
      </c>
      <c r="O37" s="39">
        <v>0.55208333333333337</v>
      </c>
      <c r="P37" s="39">
        <v>0.61319444444444449</v>
      </c>
      <c r="Q37" s="60">
        <f t="shared" si="2"/>
        <v>6.1111111111111116E-2</v>
      </c>
      <c r="R37" s="76" t="s">
        <v>166</v>
      </c>
      <c r="S37" s="76" t="s">
        <v>263</v>
      </c>
      <c r="U37" s="35" t="s">
        <v>300</v>
      </c>
      <c r="V37" s="35" t="s">
        <v>300</v>
      </c>
      <c r="W37" s="35" t="s">
        <v>697</v>
      </c>
      <c r="X37" s="194" t="s">
        <v>768</v>
      </c>
      <c r="Y37" s="35" t="s">
        <v>146</v>
      </c>
      <c r="AD37" s="38">
        <f t="shared" si="3"/>
        <v>183.33333333333334</v>
      </c>
    </row>
    <row r="38" spans="1:31" x14ac:dyDescent="0.25">
      <c r="A38" s="281">
        <v>34</v>
      </c>
      <c r="B38" s="162">
        <v>36</v>
      </c>
      <c r="C38" s="166">
        <v>45302</v>
      </c>
      <c r="D38" s="46" t="s">
        <v>75</v>
      </c>
      <c r="E38" s="47" t="s">
        <v>78</v>
      </c>
      <c r="F38" s="162" t="s">
        <v>79</v>
      </c>
      <c r="G38" s="167" t="s">
        <v>130</v>
      </c>
      <c r="H38" s="162" t="s">
        <v>149</v>
      </c>
      <c r="I38" s="168" t="s">
        <v>118</v>
      </c>
      <c r="J38" s="162" t="s">
        <v>123</v>
      </c>
      <c r="K38" s="46">
        <v>64.5</v>
      </c>
      <c r="L38" s="162">
        <v>431</v>
      </c>
      <c r="M38" s="164">
        <f t="shared" si="4"/>
        <v>0.14965197215777262</v>
      </c>
      <c r="N38" s="134">
        <f>L38/(24*"5:43")</f>
        <v>75.393586005830898</v>
      </c>
      <c r="O38" s="169">
        <v>0.84791666666666665</v>
      </c>
      <c r="P38" s="169">
        <v>8.611111111111111E-2</v>
      </c>
      <c r="Q38" s="57">
        <f>"24:00"+P38-O38</f>
        <v>0.23819444444444438</v>
      </c>
      <c r="R38" s="170" t="s">
        <v>166</v>
      </c>
      <c r="S38" s="170" t="s">
        <v>262</v>
      </c>
      <c r="T38" s="162"/>
      <c r="U38" s="162" t="s">
        <v>301</v>
      </c>
      <c r="V38" s="162" t="s">
        <v>302</v>
      </c>
      <c r="W38" s="162" t="s">
        <v>698</v>
      </c>
      <c r="X38" s="196" t="s">
        <v>769</v>
      </c>
      <c r="Y38" s="2" t="s">
        <v>139</v>
      </c>
      <c r="Z38" s="2" t="s">
        <v>159</v>
      </c>
      <c r="AA38" s="2" t="s">
        <v>160</v>
      </c>
      <c r="AB38" s="2" t="s">
        <v>161</v>
      </c>
      <c r="AD38" s="5">
        <f t="shared" si="3"/>
        <v>714.58333333333314</v>
      </c>
      <c r="AE38" s="2" t="s">
        <v>551</v>
      </c>
    </row>
    <row r="39" spans="1:31" x14ac:dyDescent="0.25">
      <c r="A39" s="281"/>
      <c r="B39" s="161">
        <v>37</v>
      </c>
      <c r="C39" s="1">
        <v>45303</v>
      </c>
      <c r="D39" s="46" t="s">
        <v>78</v>
      </c>
      <c r="E39" s="47" t="s">
        <v>81</v>
      </c>
      <c r="F39" s="161" t="s">
        <v>79</v>
      </c>
      <c r="G39" s="4" t="s">
        <v>130</v>
      </c>
      <c r="H39" s="161" t="s">
        <v>149</v>
      </c>
      <c r="I39" s="87" t="s">
        <v>82</v>
      </c>
      <c r="J39" s="161" t="s">
        <v>124</v>
      </c>
      <c r="K39" s="46">
        <v>186</v>
      </c>
      <c r="L39" s="161">
        <v>475</v>
      </c>
      <c r="M39" s="54">
        <f t="shared" si="4"/>
        <v>0.39157894736842103</v>
      </c>
      <c r="N39" s="134">
        <f t="shared" ref="N39:N73" si="5">L39/(Q39*24)</f>
        <v>61.956521739130437</v>
      </c>
      <c r="O39" s="55">
        <v>0.10208333333333333</v>
      </c>
      <c r="P39" s="55">
        <v>0.42152777777777778</v>
      </c>
      <c r="Q39" s="57">
        <f t="shared" ref="Q39:Q73" si="6">P39-O39</f>
        <v>0.31944444444444442</v>
      </c>
      <c r="R39" s="160" t="s">
        <v>166</v>
      </c>
      <c r="S39" s="160" t="s">
        <v>262</v>
      </c>
      <c r="T39" s="161"/>
      <c r="U39" s="161" t="s">
        <v>302</v>
      </c>
      <c r="V39" s="161" t="s">
        <v>303</v>
      </c>
      <c r="W39" s="176" t="s">
        <v>699</v>
      </c>
      <c r="X39" s="191" t="s">
        <v>770</v>
      </c>
      <c r="Y39" s="2" t="s">
        <v>139</v>
      </c>
      <c r="Z39" s="2" t="s">
        <v>159</v>
      </c>
      <c r="AA39" s="2" t="s">
        <v>160</v>
      </c>
      <c r="AB39" s="2" t="s">
        <v>161</v>
      </c>
      <c r="AD39" s="5">
        <f t="shared" si="3"/>
        <v>958.33333333333326</v>
      </c>
    </row>
    <row r="40" spans="1:31" s="21" customFormat="1" x14ac:dyDescent="0.25">
      <c r="A40" s="21">
        <v>35</v>
      </c>
      <c r="B40" s="21">
        <v>38</v>
      </c>
      <c r="C40" s="22">
        <v>45306</v>
      </c>
      <c r="D40" s="50" t="s">
        <v>84</v>
      </c>
      <c r="E40" s="51" t="s">
        <v>86</v>
      </c>
      <c r="F40" s="21">
        <v>4182</v>
      </c>
      <c r="G40" s="45" t="s">
        <v>132</v>
      </c>
      <c r="H40" s="21" t="s">
        <v>149</v>
      </c>
      <c r="I40" s="72" t="s">
        <v>118</v>
      </c>
      <c r="J40" s="21" t="s">
        <v>133</v>
      </c>
      <c r="K40" s="50">
        <v>22.5</v>
      </c>
      <c r="L40" s="21">
        <v>179</v>
      </c>
      <c r="M40" s="24">
        <f t="shared" si="4"/>
        <v>0.12569832402234637</v>
      </c>
      <c r="N40" s="25">
        <f t="shared" si="5"/>
        <v>43.306451612903231</v>
      </c>
      <c r="O40" s="26">
        <v>0.29722222222222222</v>
      </c>
      <c r="P40" s="26">
        <v>0.46944444444444444</v>
      </c>
      <c r="Q40" s="59">
        <f t="shared" si="6"/>
        <v>0.17222222222222222</v>
      </c>
      <c r="R40" s="44" t="s">
        <v>166</v>
      </c>
      <c r="S40" s="44" t="s">
        <v>264</v>
      </c>
      <c r="U40" s="21" t="s">
        <v>304</v>
      </c>
      <c r="V40" s="21" t="s">
        <v>304</v>
      </c>
      <c r="W40" s="21" t="s">
        <v>700</v>
      </c>
      <c r="X40" s="193" t="s">
        <v>771</v>
      </c>
      <c r="Y40" s="21" t="s">
        <v>139</v>
      </c>
      <c r="Z40" s="21" t="s">
        <v>159</v>
      </c>
      <c r="AA40" s="21" t="s">
        <v>160</v>
      </c>
      <c r="AD40" s="25">
        <f t="shared" si="3"/>
        <v>516.66666666666663</v>
      </c>
      <c r="AE40" s="21" t="s">
        <v>552</v>
      </c>
    </row>
    <row r="41" spans="1:31" s="21" customFormat="1" x14ac:dyDescent="0.25">
      <c r="A41" s="21">
        <v>36</v>
      </c>
      <c r="B41" s="21">
        <v>39</v>
      </c>
      <c r="C41" s="22">
        <v>45307</v>
      </c>
      <c r="D41" s="50" t="s">
        <v>88</v>
      </c>
      <c r="E41" s="51" t="s">
        <v>90</v>
      </c>
      <c r="F41" s="21">
        <v>4187</v>
      </c>
      <c r="G41" s="45" t="s">
        <v>132</v>
      </c>
      <c r="H41" s="21" t="s">
        <v>149</v>
      </c>
      <c r="I41" s="72" t="s">
        <v>118</v>
      </c>
      <c r="J41" s="21" t="s">
        <v>134</v>
      </c>
      <c r="K41" s="50">
        <v>25.5</v>
      </c>
      <c r="L41" s="21">
        <v>186</v>
      </c>
      <c r="M41" s="24">
        <f t="shared" si="4"/>
        <v>0.13709677419354838</v>
      </c>
      <c r="N41" s="25">
        <f t="shared" si="5"/>
        <v>84.545454545454533</v>
      </c>
      <c r="O41" s="26">
        <v>0.74861111111111112</v>
      </c>
      <c r="P41" s="26">
        <v>0.84027777777777779</v>
      </c>
      <c r="Q41" s="59">
        <f t="shared" si="6"/>
        <v>9.1666666666666674E-2</v>
      </c>
      <c r="R41" s="44" t="s">
        <v>166</v>
      </c>
      <c r="S41" s="44" t="s">
        <v>264</v>
      </c>
      <c r="U41" s="21" t="s">
        <v>275</v>
      </c>
      <c r="V41" s="21" t="s">
        <v>304</v>
      </c>
      <c r="W41" s="21" t="s">
        <v>701</v>
      </c>
      <c r="X41" s="193" t="s">
        <v>772</v>
      </c>
      <c r="Y41" s="21" t="s">
        <v>139</v>
      </c>
      <c r="Z41" s="21" t="s">
        <v>159</v>
      </c>
      <c r="AA41" s="21" t="s">
        <v>160</v>
      </c>
      <c r="AB41" s="21" t="s">
        <v>162</v>
      </c>
      <c r="AD41" s="25">
        <f t="shared" si="3"/>
        <v>275</v>
      </c>
    </row>
    <row r="42" spans="1:31" s="21" customFormat="1" x14ac:dyDescent="0.25">
      <c r="A42" s="21">
        <v>37</v>
      </c>
      <c r="B42" s="21">
        <v>40</v>
      </c>
      <c r="C42" s="22">
        <v>45311</v>
      </c>
      <c r="D42" s="50" t="s">
        <v>16</v>
      </c>
      <c r="E42" s="51" t="s">
        <v>5</v>
      </c>
      <c r="F42" s="21" t="s">
        <v>91</v>
      </c>
      <c r="G42" s="23" t="s">
        <v>127</v>
      </c>
      <c r="H42" s="21" t="s">
        <v>158</v>
      </c>
      <c r="I42" s="23" t="s">
        <v>115</v>
      </c>
      <c r="J42" s="21" t="s">
        <v>135</v>
      </c>
      <c r="K42" s="50">
        <v>54</v>
      </c>
      <c r="L42" s="21">
        <v>74</v>
      </c>
      <c r="M42" s="24">
        <f t="shared" si="4"/>
        <v>0.72972972972972971</v>
      </c>
      <c r="N42" s="25">
        <f t="shared" si="5"/>
        <v>113.84615384615378</v>
      </c>
      <c r="O42" s="26">
        <v>0.73888888888888893</v>
      </c>
      <c r="P42" s="26">
        <v>0.76597222222222228</v>
      </c>
      <c r="Q42" s="59">
        <f t="shared" si="6"/>
        <v>2.7083333333333348E-2</v>
      </c>
      <c r="R42" s="31" t="s">
        <v>164</v>
      </c>
      <c r="S42" s="31" t="s">
        <v>265</v>
      </c>
      <c r="T42" s="21" t="s">
        <v>242</v>
      </c>
      <c r="U42" s="21" t="s">
        <v>305</v>
      </c>
      <c r="V42" s="21" t="s">
        <v>304</v>
      </c>
      <c r="W42" s="21" t="s">
        <v>681</v>
      </c>
      <c r="X42" s="193" t="s">
        <v>749</v>
      </c>
      <c r="AD42" s="25">
        <f t="shared" si="3"/>
        <v>81.250000000000043</v>
      </c>
    </row>
    <row r="43" spans="1:31" s="35" customFormat="1" x14ac:dyDescent="0.25">
      <c r="A43" s="35">
        <v>38</v>
      </c>
      <c r="B43" s="35">
        <v>41</v>
      </c>
      <c r="C43" s="36">
        <v>45318</v>
      </c>
      <c r="D43" s="52" t="s">
        <v>267</v>
      </c>
      <c r="E43" s="53" t="s">
        <v>268</v>
      </c>
      <c r="F43" s="35" t="s">
        <v>269</v>
      </c>
      <c r="G43" s="78" t="s">
        <v>129</v>
      </c>
      <c r="H43" s="35" t="s">
        <v>271</v>
      </c>
      <c r="I43" s="75" t="s">
        <v>115</v>
      </c>
      <c r="J43" s="35" t="s">
        <v>272</v>
      </c>
      <c r="K43" s="52">
        <v>50</v>
      </c>
      <c r="L43" s="35">
        <v>88</v>
      </c>
      <c r="M43" s="37">
        <f t="shared" si="4"/>
        <v>0.56818181818181823</v>
      </c>
      <c r="N43" s="38">
        <f t="shared" si="5"/>
        <v>97.777777777777843</v>
      </c>
      <c r="O43" s="39">
        <v>0.74930555555555556</v>
      </c>
      <c r="P43" s="39">
        <v>0.78680555555555554</v>
      </c>
      <c r="Q43" s="60">
        <f t="shared" si="6"/>
        <v>3.7499999999999978E-2</v>
      </c>
      <c r="R43" s="43" t="s">
        <v>250</v>
      </c>
      <c r="S43" s="43" t="s">
        <v>260</v>
      </c>
      <c r="U43" s="35" t="s">
        <v>304</v>
      </c>
      <c r="V43" s="35" t="s">
        <v>305</v>
      </c>
      <c r="W43" s="35" t="s">
        <v>702</v>
      </c>
      <c r="X43" s="194" t="s">
        <v>773</v>
      </c>
      <c r="AD43" s="38">
        <f t="shared" si="3"/>
        <v>112.49999999999993</v>
      </c>
    </row>
    <row r="44" spans="1:31" s="15" customFormat="1" x14ac:dyDescent="0.25">
      <c r="A44" s="21">
        <v>39</v>
      </c>
      <c r="B44" s="21">
        <v>42</v>
      </c>
      <c r="C44" s="16">
        <v>45318</v>
      </c>
      <c r="D44" s="48" t="s">
        <v>268</v>
      </c>
      <c r="E44" s="49" t="s">
        <v>273</v>
      </c>
      <c r="F44" s="15" t="s">
        <v>274</v>
      </c>
      <c r="G44" s="42" t="s">
        <v>128</v>
      </c>
      <c r="H44" s="15" t="s">
        <v>280</v>
      </c>
      <c r="I44" s="17" t="s">
        <v>115</v>
      </c>
      <c r="J44" s="15" t="s">
        <v>281</v>
      </c>
      <c r="K44" s="48">
        <v>34.5</v>
      </c>
      <c r="L44" s="15">
        <v>50</v>
      </c>
      <c r="M44" s="18">
        <f t="shared" si="4"/>
        <v>0.69</v>
      </c>
      <c r="N44" s="19">
        <f t="shared" si="5"/>
        <v>176.47058823529474</v>
      </c>
      <c r="O44" s="20">
        <v>0.80902777777777779</v>
      </c>
      <c r="P44" s="20">
        <v>0.8208333333333333</v>
      </c>
      <c r="Q44" s="58">
        <f t="shared" si="6"/>
        <v>1.1805555555555514E-2</v>
      </c>
      <c r="R44" s="77" t="s">
        <v>297</v>
      </c>
      <c r="S44" s="77" t="s">
        <v>298</v>
      </c>
      <c r="T44" s="15" t="s">
        <v>299</v>
      </c>
      <c r="U44" s="15" t="s">
        <v>275</v>
      </c>
      <c r="V44" s="15" t="s">
        <v>276</v>
      </c>
      <c r="W44" s="15" t="s">
        <v>703</v>
      </c>
      <c r="X44" s="195" t="s">
        <v>774</v>
      </c>
      <c r="AD44" s="19">
        <f t="shared" si="3"/>
        <v>35.416666666666544</v>
      </c>
    </row>
    <row r="45" spans="1:31" s="35" customFormat="1" x14ac:dyDescent="0.25">
      <c r="A45" s="21">
        <v>40</v>
      </c>
      <c r="B45" s="21">
        <v>43</v>
      </c>
      <c r="C45" s="36">
        <v>45321</v>
      </c>
      <c r="D45" s="52" t="s">
        <v>282</v>
      </c>
      <c r="E45" s="53" t="s">
        <v>284</v>
      </c>
      <c r="F45" s="35" t="s">
        <v>285</v>
      </c>
      <c r="G45" s="72" t="s">
        <v>131</v>
      </c>
      <c r="H45" s="35" t="s">
        <v>287</v>
      </c>
      <c r="I45" s="167" t="s">
        <v>202</v>
      </c>
      <c r="J45" s="35" t="s">
        <v>288</v>
      </c>
      <c r="K45" s="52">
        <v>47.5</v>
      </c>
      <c r="L45" s="35">
        <v>117</v>
      </c>
      <c r="M45" s="37">
        <f t="shared" si="4"/>
        <v>0.40598290598290598</v>
      </c>
      <c r="N45" s="38">
        <f t="shared" si="5"/>
        <v>61.578947368421055</v>
      </c>
      <c r="O45" s="39">
        <v>0.29305555555555557</v>
      </c>
      <c r="P45" s="39">
        <v>0.37222222222222223</v>
      </c>
      <c r="Q45" s="60">
        <f t="shared" si="6"/>
        <v>7.9166666666666663E-2</v>
      </c>
      <c r="R45" s="43" t="s">
        <v>250</v>
      </c>
      <c r="S45" s="43" t="s">
        <v>260</v>
      </c>
      <c r="U45" s="35" t="s">
        <v>289</v>
      </c>
      <c r="V45" s="35" t="s">
        <v>289</v>
      </c>
      <c r="W45" s="35" t="s">
        <v>704</v>
      </c>
      <c r="X45" s="194" t="s">
        <v>775</v>
      </c>
      <c r="AD45" s="38">
        <f t="shared" si="3"/>
        <v>237.5</v>
      </c>
    </row>
    <row r="46" spans="1:31" s="15" customFormat="1" x14ac:dyDescent="0.25">
      <c r="A46" s="15">
        <v>41</v>
      </c>
      <c r="B46" s="15">
        <v>44</v>
      </c>
      <c r="C46" s="16">
        <v>45321</v>
      </c>
      <c r="D46" s="48" t="s">
        <v>284</v>
      </c>
      <c r="E46" s="49" t="s">
        <v>290</v>
      </c>
      <c r="F46" s="15" t="s">
        <v>291</v>
      </c>
      <c r="G46" s="79" t="s">
        <v>130</v>
      </c>
      <c r="H46" s="15" t="s">
        <v>292</v>
      </c>
      <c r="I46" s="85" t="s">
        <v>118</v>
      </c>
      <c r="J46" s="15" t="s">
        <v>293</v>
      </c>
      <c r="K46" s="48">
        <v>21.5</v>
      </c>
      <c r="L46" s="15">
        <v>137</v>
      </c>
      <c r="M46" s="18">
        <f t="shared" si="4"/>
        <v>0.15693430656934307</v>
      </c>
      <c r="N46" s="19">
        <f t="shared" si="5"/>
        <v>72.105263157894797</v>
      </c>
      <c r="O46" s="20">
        <v>0.74513888888888891</v>
      </c>
      <c r="P46" s="20">
        <v>0.82430555555555551</v>
      </c>
      <c r="Q46" s="58">
        <f t="shared" si="6"/>
        <v>7.9166666666666607E-2</v>
      </c>
      <c r="R46" s="80" t="s">
        <v>248</v>
      </c>
      <c r="S46" s="80" t="s">
        <v>249</v>
      </c>
      <c r="T46" s="15" t="s">
        <v>242</v>
      </c>
      <c r="U46" s="15" t="s">
        <v>294</v>
      </c>
      <c r="V46" s="15" t="s">
        <v>295</v>
      </c>
      <c r="W46" s="15" t="s">
        <v>705</v>
      </c>
      <c r="X46" s="195" t="s">
        <v>776</v>
      </c>
      <c r="AD46" s="19">
        <f t="shared" si="3"/>
        <v>237.49999999999983</v>
      </c>
      <c r="AE46" s="15" t="s">
        <v>550</v>
      </c>
    </row>
    <row r="47" spans="1:31" x14ac:dyDescent="0.25">
      <c r="A47" s="2">
        <v>42</v>
      </c>
      <c r="B47" s="162">
        <v>45</v>
      </c>
      <c r="C47" s="166">
        <v>45351</v>
      </c>
      <c r="D47" s="46" t="s">
        <v>58</v>
      </c>
      <c r="E47" s="47" t="s">
        <v>67</v>
      </c>
      <c r="F47" s="162" t="s">
        <v>535</v>
      </c>
      <c r="G47" s="40" t="s">
        <v>128</v>
      </c>
      <c r="H47" s="162" t="s">
        <v>342</v>
      </c>
      <c r="I47" s="75" t="s">
        <v>115</v>
      </c>
      <c r="J47" s="162" t="s">
        <v>536</v>
      </c>
      <c r="K47" s="46">
        <v>34.5</v>
      </c>
      <c r="L47" s="162">
        <v>50</v>
      </c>
      <c r="M47" s="164">
        <f t="shared" si="4"/>
        <v>0.69</v>
      </c>
      <c r="N47" s="134">
        <f t="shared" si="5"/>
        <v>166.66666666666652</v>
      </c>
      <c r="O47" s="169">
        <v>0.37986111111111109</v>
      </c>
      <c r="P47" s="169">
        <v>0.3923611111111111</v>
      </c>
      <c r="Q47" s="57">
        <f t="shared" si="6"/>
        <v>1.2500000000000011E-2</v>
      </c>
      <c r="R47" s="130" t="s">
        <v>165</v>
      </c>
      <c r="S47" s="81" t="s">
        <v>247</v>
      </c>
      <c r="T47" s="162"/>
      <c r="U47" s="162" t="s">
        <v>289</v>
      </c>
      <c r="V47" s="162" t="s">
        <v>289</v>
      </c>
      <c r="W47" s="162" t="s">
        <v>703</v>
      </c>
      <c r="X47" s="196" t="s">
        <v>777</v>
      </c>
      <c r="AD47" s="5">
        <f t="shared" si="3"/>
        <v>37.500000000000036</v>
      </c>
    </row>
    <row r="48" spans="1:31" x14ac:dyDescent="0.25">
      <c r="A48" s="21">
        <v>43</v>
      </c>
      <c r="B48" s="21">
        <v>46</v>
      </c>
      <c r="C48" s="166">
        <v>45351</v>
      </c>
      <c r="D48" s="46" t="s">
        <v>67</v>
      </c>
      <c r="E48" s="47" t="s">
        <v>534</v>
      </c>
      <c r="F48" s="162" t="s">
        <v>537</v>
      </c>
      <c r="G48" s="128" t="s">
        <v>129</v>
      </c>
      <c r="H48" s="162" t="s">
        <v>271</v>
      </c>
      <c r="I48" s="133" t="s">
        <v>115</v>
      </c>
      <c r="J48" s="162" t="s">
        <v>538</v>
      </c>
      <c r="K48" s="46">
        <v>20</v>
      </c>
      <c r="L48" s="162">
        <v>32</v>
      </c>
      <c r="M48" s="164">
        <f t="shared" si="4"/>
        <v>0.625</v>
      </c>
      <c r="N48" s="134">
        <f t="shared" si="5"/>
        <v>80.000000000000014</v>
      </c>
      <c r="O48" s="169">
        <v>0.40972222222222221</v>
      </c>
      <c r="P48" s="169">
        <v>0.42638888888888887</v>
      </c>
      <c r="Q48" s="57">
        <f t="shared" si="6"/>
        <v>1.6666666666666663E-2</v>
      </c>
      <c r="R48" s="131" t="s">
        <v>165</v>
      </c>
      <c r="S48" s="132" t="s">
        <v>260</v>
      </c>
      <c r="T48" s="162"/>
      <c r="U48" s="162" t="s">
        <v>289</v>
      </c>
      <c r="V48" s="162" t="s">
        <v>289</v>
      </c>
      <c r="W48" s="162" t="s">
        <v>706</v>
      </c>
      <c r="X48" s="196" t="s">
        <v>778</v>
      </c>
      <c r="AD48" s="5">
        <f t="shared" si="3"/>
        <v>49.999999999999986</v>
      </c>
    </row>
    <row r="49" spans="1:32" s="21" customFormat="1" x14ac:dyDescent="0.25">
      <c r="A49" s="21">
        <v>44</v>
      </c>
      <c r="B49" s="21">
        <v>47</v>
      </c>
      <c r="C49" s="22">
        <v>45389</v>
      </c>
      <c r="D49" s="50" t="s">
        <v>5</v>
      </c>
      <c r="E49" s="51" t="s">
        <v>539</v>
      </c>
      <c r="F49" s="21" t="s">
        <v>540</v>
      </c>
      <c r="G49" s="137" t="s">
        <v>130</v>
      </c>
      <c r="H49" s="21" t="s">
        <v>149</v>
      </c>
      <c r="I49" s="138" t="s">
        <v>118</v>
      </c>
      <c r="J49" s="21" t="s">
        <v>541</v>
      </c>
      <c r="K49" s="50">
        <v>12.5</v>
      </c>
      <c r="L49" s="21">
        <v>68</v>
      </c>
      <c r="M49" s="24">
        <f t="shared" si="4"/>
        <v>0.18382352941176472</v>
      </c>
      <c r="N49" s="25">
        <f t="shared" si="5"/>
        <v>51.645569620253191</v>
      </c>
      <c r="O49" s="26">
        <v>0.3979166666666667</v>
      </c>
      <c r="P49" s="26">
        <v>0.45277777777777778</v>
      </c>
      <c r="Q49" s="59">
        <f t="shared" si="6"/>
        <v>5.4861111111111083E-2</v>
      </c>
      <c r="R49" s="139" t="s">
        <v>542</v>
      </c>
      <c r="S49" s="140" t="s">
        <v>543</v>
      </c>
      <c r="T49" s="21" t="s">
        <v>242</v>
      </c>
      <c r="U49" s="21" t="s">
        <v>544</v>
      </c>
      <c r="V49" s="21" t="s">
        <v>547</v>
      </c>
      <c r="W49" s="21" t="s">
        <v>707</v>
      </c>
      <c r="X49" s="193" t="s">
        <v>779</v>
      </c>
      <c r="Y49" s="21" t="s">
        <v>545</v>
      </c>
      <c r="AA49" s="21" t="s">
        <v>141</v>
      </c>
      <c r="AB49" s="21" t="s">
        <v>546</v>
      </c>
      <c r="AD49" s="25">
        <f t="shared" si="3"/>
        <v>164.58333333333326</v>
      </c>
      <c r="AE49" s="21" t="s">
        <v>548</v>
      </c>
    </row>
    <row r="50" spans="1:32" s="21" customFormat="1" x14ac:dyDescent="0.25">
      <c r="A50" s="21">
        <v>45</v>
      </c>
      <c r="B50" s="21">
        <v>48</v>
      </c>
      <c r="C50" s="22">
        <v>45414</v>
      </c>
      <c r="D50" s="50" t="s">
        <v>539</v>
      </c>
      <c r="E50" s="51" t="s">
        <v>5</v>
      </c>
      <c r="F50" s="21" t="s">
        <v>554</v>
      </c>
      <c r="G50" s="137" t="s">
        <v>130</v>
      </c>
      <c r="H50" s="21" t="s">
        <v>149</v>
      </c>
      <c r="I50" s="138" t="s">
        <v>118</v>
      </c>
      <c r="J50" s="21" t="s">
        <v>555</v>
      </c>
      <c r="K50" s="50">
        <v>12.5</v>
      </c>
      <c r="L50" s="21">
        <v>68</v>
      </c>
      <c r="M50" s="24">
        <f t="shared" si="4"/>
        <v>0.18382352941176472</v>
      </c>
      <c r="N50" s="25">
        <f t="shared" si="5"/>
        <v>94.883720930232542</v>
      </c>
      <c r="O50" s="26">
        <v>0.56319444444444444</v>
      </c>
      <c r="P50" s="26">
        <v>0.59305555555555556</v>
      </c>
      <c r="Q50" s="59">
        <f t="shared" si="6"/>
        <v>2.9861111111111116E-2</v>
      </c>
      <c r="R50" s="139" t="s">
        <v>542</v>
      </c>
      <c r="S50" s="140" t="s">
        <v>543</v>
      </c>
      <c r="T50" s="21" t="s">
        <v>242</v>
      </c>
      <c r="U50" s="21" t="s">
        <v>275</v>
      </c>
      <c r="V50" s="21" t="s">
        <v>289</v>
      </c>
      <c r="W50" s="21" t="s">
        <v>707</v>
      </c>
      <c r="X50" s="193" t="s">
        <v>780</v>
      </c>
      <c r="Y50" s="21" t="s">
        <v>545</v>
      </c>
      <c r="Z50" s="21" t="s">
        <v>140</v>
      </c>
      <c r="AA50" s="21" t="s">
        <v>141</v>
      </c>
      <c r="AD50" s="25">
        <f t="shared" si="3"/>
        <v>89.583333333333343</v>
      </c>
    </row>
    <row r="51" spans="1:32" s="21" customFormat="1" x14ac:dyDescent="0.25">
      <c r="A51" s="21">
        <v>46</v>
      </c>
      <c r="B51" s="21">
        <v>49</v>
      </c>
      <c r="C51" s="22">
        <v>45438</v>
      </c>
      <c r="D51" s="50" t="s">
        <v>16</v>
      </c>
      <c r="E51" s="51" t="s">
        <v>5</v>
      </c>
      <c r="F51" s="21" t="s">
        <v>556</v>
      </c>
      <c r="G51" s="141" t="s">
        <v>129</v>
      </c>
      <c r="H51" s="21" t="s">
        <v>145</v>
      </c>
      <c r="I51" s="23" t="s">
        <v>115</v>
      </c>
      <c r="J51" s="21" t="s">
        <v>121</v>
      </c>
      <c r="K51" s="50">
        <v>50</v>
      </c>
      <c r="L51" s="21">
        <v>74</v>
      </c>
      <c r="M51" s="24">
        <f t="shared" si="4"/>
        <v>0.67567567567567566</v>
      </c>
      <c r="N51" s="25">
        <f t="shared" si="5"/>
        <v>110.99999999999996</v>
      </c>
      <c r="O51" s="26">
        <v>0.39513888888888887</v>
      </c>
      <c r="P51" s="26">
        <v>0.42291666666666666</v>
      </c>
      <c r="Q51" s="59">
        <f t="shared" si="6"/>
        <v>2.777777777777779E-2</v>
      </c>
      <c r="R51" s="142" t="s">
        <v>245</v>
      </c>
      <c r="S51" s="28" t="s">
        <v>259</v>
      </c>
      <c r="T51" s="21" t="s">
        <v>242</v>
      </c>
      <c r="U51" s="21" t="s">
        <v>557</v>
      </c>
      <c r="V51" s="21" t="s">
        <v>289</v>
      </c>
      <c r="W51" s="21" t="s">
        <v>681</v>
      </c>
      <c r="X51" s="193" t="s">
        <v>749</v>
      </c>
      <c r="AD51" s="25">
        <f t="shared" si="3"/>
        <v>83.333333333333371</v>
      </c>
    </row>
    <row r="52" spans="1:32" s="35" customFormat="1" x14ac:dyDescent="0.25">
      <c r="A52" s="35">
        <v>47</v>
      </c>
      <c r="B52" s="35">
        <v>50</v>
      </c>
      <c r="C52" s="36">
        <v>45501</v>
      </c>
      <c r="D52" s="52" t="s">
        <v>16</v>
      </c>
      <c r="E52" s="53" t="s">
        <v>67</v>
      </c>
      <c r="F52" s="35" t="s">
        <v>559</v>
      </c>
      <c r="G52" s="40" t="s">
        <v>128</v>
      </c>
      <c r="H52" s="35" t="s">
        <v>280</v>
      </c>
      <c r="I52" s="75" t="s">
        <v>115</v>
      </c>
      <c r="J52" s="35" t="s">
        <v>560</v>
      </c>
      <c r="K52" s="52">
        <v>74.5</v>
      </c>
      <c r="L52" s="35">
        <v>102</v>
      </c>
      <c r="M52" s="37">
        <f t="shared" si="4"/>
        <v>0.73039215686274506</v>
      </c>
      <c r="N52" s="38">
        <f t="shared" si="5"/>
        <v>211.03448275862027</v>
      </c>
      <c r="O52" s="39">
        <v>0.62569444444444444</v>
      </c>
      <c r="P52" s="39">
        <v>0.64583333333333337</v>
      </c>
      <c r="Q52" s="60">
        <f t="shared" si="6"/>
        <v>2.0138888888888928E-2</v>
      </c>
      <c r="R52" s="135" t="s">
        <v>542</v>
      </c>
      <c r="S52" s="136" t="s">
        <v>564</v>
      </c>
      <c r="T52" s="35" t="s">
        <v>242</v>
      </c>
      <c r="U52" s="35" t="s">
        <v>563</v>
      </c>
      <c r="V52" s="35" t="s">
        <v>563</v>
      </c>
      <c r="W52" s="35" t="s">
        <v>708</v>
      </c>
      <c r="X52" s="194" t="s">
        <v>781</v>
      </c>
      <c r="AD52" s="38">
        <f t="shared" si="3"/>
        <v>60.416666666666785</v>
      </c>
    </row>
    <row r="53" spans="1:32" s="15" customFormat="1" x14ac:dyDescent="0.25">
      <c r="A53" s="15">
        <v>48</v>
      </c>
      <c r="B53" s="15">
        <v>51</v>
      </c>
      <c r="C53" s="16">
        <v>45501</v>
      </c>
      <c r="D53" s="48" t="s">
        <v>67</v>
      </c>
      <c r="E53" s="49" t="s">
        <v>16</v>
      </c>
      <c r="F53" s="15" t="s">
        <v>561</v>
      </c>
      <c r="G53" s="42" t="s">
        <v>128</v>
      </c>
      <c r="H53" s="15" t="s">
        <v>322</v>
      </c>
      <c r="I53" s="17" t="s">
        <v>115</v>
      </c>
      <c r="J53" s="15" t="s">
        <v>562</v>
      </c>
      <c r="K53" s="48">
        <v>74.5</v>
      </c>
      <c r="L53" s="15">
        <v>102</v>
      </c>
      <c r="M53" s="18">
        <f t="shared" si="4"/>
        <v>0.73039215686274506</v>
      </c>
      <c r="N53" s="19">
        <f t="shared" si="5"/>
        <v>170.0000000000006</v>
      </c>
      <c r="O53" s="20">
        <v>0.91875000000000007</v>
      </c>
      <c r="P53" s="20">
        <v>0.94374999999999998</v>
      </c>
      <c r="Q53" s="58">
        <f t="shared" si="6"/>
        <v>2.4999999999999911E-2</v>
      </c>
      <c r="R53" s="88" t="s">
        <v>165</v>
      </c>
      <c r="S53" s="71" t="s">
        <v>247</v>
      </c>
      <c r="U53" s="15" t="s">
        <v>276</v>
      </c>
      <c r="V53" s="15" t="s">
        <v>289</v>
      </c>
      <c r="W53" s="15" t="s">
        <v>708</v>
      </c>
      <c r="X53" s="195" t="s">
        <v>782</v>
      </c>
      <c r="AD53" s="19">
        <f t="shared" si="3"/>
        <v>74.99999999999973</v>
      </c>
      <c r="AF53" s="15" t="s">
        <v>306</v>
      </c>
    </row>
    <row r="54" spans="1:32" s="21" customFormat="1" x14ac:dyDescent="0.25">
      <c r="A54" s="21">
        <v>49</v>
      </c>
      <c r="B54" s="21">
        <v>52</v>
      </c>
      <c r="C54" s="22">
        <v>45508</v>
      </c>
      <c r="D54" s="50" t="s">
        <v>565</v>
      </c>
      <c r="E54" s="51" t="s">
        <v>566</v>
      </c>
      <c r="F54" s="21" t="s">
        <v>567</v>
      </c>
      <c r="G54" s="30" t="s">
        <v>128</v>
      </c>
      <c r="H54" s="21" t="s">
        <v>568</v>
      </c>
      <c r="I54" s="23" t="s">
        <v>115</v>
      </c>
      <c r="J54" s="21" t="s">
        <v>569</v>
      </c>
      <c r="K54" s="50">
        <v>58</v>
      </c>
      <c r="L54" s="21">
        <v>74</v>
      </c>
      <c r="M54" s="24">
        <f t="shared" si="4"/>
        <v>0.78378378378378377</v>
      </c>
      <c r="N54" s="25">
        <f t="shared" si="5"/>
        <v>100.90909090909091</v>
      </c>
      <c r="O54" s="26">
        <v>0.50277777777777777</v>
      </c>
      <c r="P54" s="26">
        <v>0.53333333333333333</v>
      </c>
      <c r="Q54" s="59">
        <f t="shared" si="6"/>
        <v>3.0555555555555558E-2</v>
      </c>
      <c r="R54" s="143" t="s">
        <v>165</v>
      </c>
      <c r="S54" s="27" t="s">
        <v>247</v>
      </c>
      <c r="U54" s="21" t="s">
        <v>570</v>
      </c>
      <c r="V54" s="21" t="s">
        <v>570</v>
      </c>
      <c r="W54" s="21" t="s">
        <v>681</v>
      </c>
      <c r="X54" s="193" t="s">
        <v>749</v>
      </c>
      <c r="AD54" s="25">
        <f t="shared" si="3"/>
        <v>91.666666666666671</v>
      </c>
    </row>
    <row r="55" spans="1:32" s="21" customFormat="1" x14ac:dyDescent="0.25">
      <c r="A55" s="21">
        <v>50</v>
      </c>
      <c r="B55" s="21">
        <v>53</v>
      </c>
      <c r="C55" s="22">
        <v>45509</v>
      </c>
      <c r="D55" s="50" t="s">
        <v>566</v>
      </c>
      <c r="E55" s="51" t="s">
        <v>565</v>
      </c>
      <c r="F55" s="21" t="s">
        <v>571</v>
      </c>
      <c r="G55" s="30" t="s">
        <v>128</v>
      </c>
      <c r="H55" s="21" t="s">
        <v>568</v>
      </c>
      <c r="I55" s="23" t="s">
        <v>115</v>
      </c>
      <c r="J55" s="21" t="s">
        <v>572</v>
      </c>
      <c r="K55" s="50">
        <v>58</v>
      </c>
      <c r="L55" s="21">
        <v>74</v>
      </c>
      <c r="M55" s="24">
        <f t="shared" si="4"/>
        <v>0.78378378378378377</v>
      </c>
      <c r="N55" s="25">
        <f t="shared" si="5"/>
        <v>96.521739130434455</v>
      </c>
      <c r="O55" s="26">
        <v>0.69861111111111107</v>
      </c>
      <c r="P55" s="26">
        <v>0.73055555555555562</v>
      </c>
      <c r="Q55" s="59">
        <f t="shared" si="6"/>
        <v>3.1944444444444553E-2</v>
      </c>
      <c r="R55" s="143" t="s">
        <v>165</v>
      </c>
      <c r="S55" s="27" t="s">
        <v>247</v>
      </c>
      <c r="U55" s="21" t="s">
        <v>570</v>
      </c>
      <c r="V55" s="21" t="s">
        <v>573</v>
      </c>
      <c r="W55" s="21" t="s">
        <v>681</v>
      </c>
      <c r="X55" s="193" t="s">
        <v>750</v>
      </c>
      <c r="AD55" s="25">
        <f t="shared" si="3"/>
        <v>95.833333333333655</v>
      </c>
    </row>
    <row r="56" spans="1:32" s="35" customFormat="1" x14ac:dyDescent="0.25">
      <c r="A56" s="35">
        <v>51</v>
      </c>
      <c r="B56" s="35">
        <v>54</v>
      </c>
      <c r="C56" s="36">
        <v>45510</v>
      </c>
      <c r="D56" s="52" t="s">
        <v>565</v>
      </c>
      <c r="E56" s="53" t="s">
        <v>575</v>
      </c>
      <c r="F56" s="35" t="s">
        <v>576</v>
      </c>
      <c r="G56" s="40" t="s">
        <v>128</v>
      </c>
      <c r="H56" s="35" t="s">
        <v>580</v>
      </c>
      <c r="I56" s="75" t="s">
        <v>115</v>
      </c>
      <c r="J56" s="35" t="s">
        <v>577</v>
      </c>
      <c r="K56" s="52">
        <v>444.5</v>
      </c>
      <c r="L56" s="35">
        <v>969</v>
      </c>
      <c r="M56" s="37">
        <f t="shared" si="4"/>
        <v>0.45872033023735809</v>
      </c>
      <c r="N56" s="38">
        <f t="shared" si="5"/>
        <v>222.75862068965515</v>
      </c>
      <c r="O56" s="39">
        <v>0.37777777777777777</v>
      </c>
      <c r="P56" s="39">
        <v>0.55902777777777779</v>
      </c>
      <c r="Q56" s="60">
        <f t="shared" si="6"/>
        <v>0.18125000000000002</v>
      </c>
      <c r="R56" s="144" t="s">
        <v>165</v>
      </c>
      <c r="S56" s="43" t="s">
        <v>260</v>
      </c>
      <c r="T56" s="35" t="s">
        <v>581</v>
      </c>
      <c r="U56" s="35" t="s">
        <v>582</v>
      </c>
      <c r="V56" s="35" t="s">
        <v>583</v>
      </c>
      <c r="W56" s="35" t="s">
        <v>709</v>
      </c>
      <c r="X56" s="194" t="s">
        <v>783</v>
      </c>
      <c r="Y56" s="35" t="s">
        <v>578</v>
      </c>
      <c r="AD56" s="38">
        <f t="shared" si="3"/>
        <v>543.75000000000011</v>
      </c>
    </row>
    <row r="57" spans="1:32" x14ac:dyDescent="0.25">
      <c r="A57" s="21">
        <v>52</v>
      </c>
      <c r="B57" s="21">
        <v>55</v>
      </c>
      <c r="C57" s="166">
        <v>45510</v>
      </c>
      <c r="D57" s="46" t="s">
        <v>575</v>
      </c>
      <c r="E57" s="47" t="s">
        <v>585</v>
      </c>
      <c r="F57" s="162" t="s">
        <v>586</v>
      </c>
      <c r="G57" s="129" t="s">
        <v>128</v>
      </c>
      <c r="H57" s="162" t="s">
        <v>588</v>
      </c>
      <c r="I57" s="133" t="s">
        <v>115</v>
      </c>
      <c r="J57" s="162" t="s">
        <v>589</v>
      </c>
      <c r="K57" s="46">
        <v>93</v>
      </c>
      <c r="L57" s="162">
        <v>215</v>
      </c>
      <c r="M57" s="164">
        <f t="shared" si="4"/>
        <v>0.4325581395348837</v>
      </c>
      <c r="N57" s="134">
        <f t="shared" si="5"/>
        <v>144.9438202247191</v>
      </c>
      <c r="O57" s="169">
        <v>0.6645833333333333</v>
      </c>
      <c r="P57" s="169">
        <v>0.72638888888888886</v>
      </c>
      <c r="Q57" s="57">
        <f t="shared" si="6"/>
        <v>6.1805555555555558E-2</v>
      </c>
      <c r="R57" s="145" t="s">
        <v>257</v>
      </c>
      <c r="S57" s="145" t="s">
        <v>520</v>
      </c>
      <c r="T57" s="162"/>
      <c r="U57" s="162" t="s">
        <v>570</v>
      </c>
      <c r="V57" s="162" t="s">
        <v>570</v>
      </c>
      <c r="W57" s="162" t="s">
        <v>720</v>
      </c>
      <c r="X57" s="196" t="s">
        <v>784</v>
      </c>
      <c r="AD57" s="5">
        <f t="shared" si="3"/>
        <v>185.41666666666669</v>
      </c>
    </row>
    <row r="58" spans="1:32" s="21" customFormat="1" x14ac:dyDescent="0.25">
      <c r="A58" s="21">
        <v>53</v>
      </c>
      <c r="B58" s="21">
        <v>56</v>
      </c>
      <c r="C58" s="22">
        <v>45512</v>
      </c>
      <c r="D58" s="50" t="s">
        <v>591</v>
      </c>
      <c r="E58" s="51" t="s">
        <v>575</v>
      </c>
      <c r="F58" s="21" t="s">
        <v>592</v>
      </c>
      <c r="G58" s="30" t="s">
        <v>128</v>
      </c>
      <c r="H58" s="21" t="s">
        <v>596</v>
      </c>
      <c r="I58" s="23" t="s">
        <v>115</v>
      </c>
      <c r="J58" s="21" t="s">
        <v>593</v>
      </c>
      <c r="K58" s="50">
        <v>54</v>
      </c>
      <c r="L58" s="21">
        <v>115</v>
      </c>
      <c r="M58" s="24">
        <f t="shared" si="4"/>
        <v>0.46956521739130436</v>
      </c>
      <c r="N58" s="25">
        <f t="shared" si="5"/>
        <v>153.33333333333334</v>
      </c>
      <c r="O58" s="26">
        <v>0.8569444444444444</v>
      </c>
      <c r="P58" s="26">
        <v>0.8881944444444444</v>
      </c>
      <c r="Q58" s="59">
        <f t="shared" si="6"/>
        <v>3.125E-2</v>
      </c>
      <c r="R58" s="146" t="s">
        <v>257</v>
      </c>
      <c r="S58" s="146" t="s">
        <v>258</v>
      </c>
      <c r="T58" s="21" t="s">
        <v>581</v>
      </c>
      <c r="U58" s="21" t="s">
        <v>570</v>
      </c>
      <c r="V58" s="21" t="s">
        <v>594</v>
      </c>
      <c r="W58" s="21" t="s">
        <v>693</v>
      </c>
      <c r="X58" s="193" t="s">
        <v>785</v>
      </c>
      <c r="AD58" s="25">
        <f t="shared" si="3"/>
        <v>93.75</v>
      </c>
    </row>
    <row r="59" spans="1:32" x14ac:dyDescent="0.25">
      <c r="A59" s="127">
        <v>54</v>
      </c>
      <c r="B59" s="162">
        <v>57</v>
      </c>
      <c r="C59" s="166">
        <v>45514</v>
      </c>
      <c r="D59" s="46" t="s">
        <v>575</v>
      </c>
      <c r="E59" s="47" t="s">
        <v>598</v>
      </c>
      <c r="F59" s="162" t="s">
        <v>599</v>
      </c>
      <c r="G59" s="129" t="s">
        <v>128</v>
      </c>
      <c r="H59" s="162" t="s">
        <v>580</v>
      </c>
      <c r="I59" s="133" t="s">
        <v>115</v>
      </c>
      <c r="J59" s="162" t="s">
        <v>600</v>
      </c>
      <c r="K59" s="46">
        <v>115</v>
      </c>
      <c r="L59" s="162">
        <v>251</v>
      </c>
      <c r="M59" s="164">
        <f t="shared" si="4"/>
        <v>0.45816733067729082</v>
      </c>
      <c r="N59" s="134">
        <f t="shared" si="5"/>
        <v>183.65853658536579</v>
      </c>
      <c r="O59" s="169">
        <v>0.53749999999999998</v>
      </c>
      <c r="P59" s="169">
        <v>0.59444444444444444</v>
      </c>
      <c r="Q59" s="57">
        <f t="shared" si="6"/>
        <v>5.6944444444444464E-2</v>
      </c>
      <c r="R59" s="171" t="s">
        <v>165</v>
      </c>
      <c r="S59" s="171" t="s">
        <v>253</v>
      </c>
      <c r="T59" s="162" t="s">
        <v>581</v>
      </c>
      <c r="U59" s="162" t="s">
        <v>601</v>
      </c>
      <c r="V59" s="162" t="s">
        <v>602</v>
      </c>
      <c r="W59" s="162" t="s">
        <v>711</v>
      </c>
      <c r="X59" s="196" t="s">
        <v>786</v>
      </c>
      <c r="AD59" s="5">
        <f t="shared" si="3"/>
        <v>170.8333333333334</v>
      </c>
    </row>
    <row r="60" spans="1:32" s="35" customFormat="1" x14ac:dyDescent="0.25">
      <c r="A60" s="35">
        <v>55</v>
      </c>
      <c r="B60" s="35">
        <v>58</v>
      </c>
      <c r="C60" s="36">
        <v>45519</v>
      </c>
      <c r="D60" s="52" t="s">
        <v>607</v>
      </c>
      <c r="E60" s="53" t="s">
        <v>5</v>
      </c>
      <c r="F60" s="35" t="s">
        <v>608</v>
      </c>
      <c r="G60" s="78" t="s">
        <v>129</v>
      </c>
      <c r="H60" s="35" t="s">
        <v>137</v>
      </c>
      <c r="I60" s="133" t="s">
        <v>115</v>
      </c>
      <c r="J60" s="35" t="s">
        <v>609</v>
      </c>
      <c r="K60" s="52">
        <v>53.5</v>
      </c>
      <c r="L60" s="35">
        <v>76</v>
      </c>
      <c r="M60" s="37">
        <f t="shared" si="4"/>
        <v>0.70394736842105265</v>
      </c>
      <c r="N60" s="38">
        <f t="shared" si="5"/>
        <v>86.037735849056645</v>
      </c>
      <c r="O60" s="39">
        <v>0.62847222222222221</v>
      </c>
      <c r="P60" s="39">
        <v>0.66527777777777775</v>
      </c>
      <c r="Q60" s="60">
        <f t="shared" si="6"/>
        <v>3.6805555555555536E-2</v>
      </c>
      <c r="R60" s="130" t="s">
        <v>165</v>
      </c>
      <c r="S60" s="81" t="s">
        <v>247</v>
      </c>
      <c r="W60" s="35" t="s">
        <v>712</v>
      </c>
      <c r="X60" s="194" t="s">
        <v>787</v>
      </c>
      <c r="AD60" s="38">
        <f t="shared" si="3"/>
        <v>110.4166666666666</v>
      </c>
    </row>
    <row r="61" spans="1:32" s="21" customFormat="1" x14ac:dyDescent="0.25">
      <c r="A61" s="21">
        <v>56</v>
      </c>
      <c r="B61" s="21">
        <v>59</v>
      </c>
      <c r="C61" s="22">
        <v>45541</v>
      </c>
      <c r="D61" s="50" t="s">
        <v>539</v>
      </c>
      <c r="E61" s="51" t="s">
        <v>610</v>
      </c>
      <c r="F61" s="21" t="s">
        <v>611</v>
      </c>
      <c r="G61" s="137" t="s">
        <v>130</v>
      </c>
      <c r="H61" s="21" t="s">
        <v>149</v>
      </c>
      <c r="I61" s="138" t="s">
        <v>118</v>
      </c>
      <c r="J61" s="21" t="s">
        <v>612</v>
      </c>
      <c r="K61" s="50">
        <v>51.5</v>
      </c>
      <c r="L61" s="21">
        <v>344</v>
      </c>
      <c r="M61" s="24">
        <f t="shared" si="4"/>
        <v>0.14970930232558138</v>
      </c>
      <c r="N61" s="25">
        <f t="shared" si="5"/>
        <v>87.457627118644027</v>
      </c>
      <c r="O61" s="26">
        <v>0.65277777777777779</v>
      </c>
      <c r="P61" s="26">
        <v>0.81666666666666676</v>
      </c>
      <c r="Q61" s="59">
        <f t="shared" si="6"/>
        <v>0.16388888888888897</v>
      </c>
      <c r="R61" s="163" t="s">
        <v>613</v>
      </c>
      <c r="S61" s="163" t="s">
        <v>637</v>
      </c>
      <c r="T61" s="21" t="s">
        <v>632</v>
      </c>
      <c r="U61" s="21" t="s">
        <v>635</v>
      </c>
      <c r="V61" s="21" t="s">
        <v>634</v>
      </c>
      <c r="W61" s="21" t="s">
        <v>713</v>
      </c>
      <c r="X61" s="193" t="s">
        <v>788</v>
      </c>
      <c r="Y61" s="21" t="s">
        <v>139</v>
      </c>
      <c r="Z61" s="21" t="s">
        <v>140</v>
      </c>
      <c r="AA61" s="21" t="s">
        <v>641</v>
      </c>
      <c r="AB61" s="21" t="s">
        <v>640</v>
      </c>
      <c r="AD61" s="25">
        <f t="shared" si="3"/>
        <v>491.66666666666691</v>
      </c>
    </row>
    <row r="62" spans="1:32" x14ac:dyDescent="0.25">
      <c r="A62" s="162">
        <v>57</v>
      </c>
      <c r="B62" s="162">
        <v>60</v>
      </c>
      <c r="C62" s="166">
        <v>45543</v>
      </c>
      <c r="D62" s="46" t="s">
        <v>614</v>
      </c>
      <c r="E62" s="47" t="s">
        <v>16</v>
      </c>
      <c r="F62" s="162" t="s">
        <v>30</v>
      </c>
      <c r="G62" s="129" t="s">
        <v>128</v>
      </c>
      <c r="H62" s="162" t="s">
        <v>280</v>
      </c>
      <c r="I62" s="133" t="s">
        <v>115</v>
      </c>
      <c r="J62" s="162" t="s">
        <v>615</v>
      </c>
      <c r="K62" s="46">
        <v>109.5</v>
      </c>
      <c r="L62" s="162">
        <v>185</v>
      </c>
      <c r="M62" s="164">
        <f t="shared" si="4"/>
        <v>0.59189189189189184</v>
      </c>
      <c r="N62" s="134">
        <f t="shared" si="5"/>
        <v>158.57142857142878</v>
      </c>
      <c r="O62" s="169">
        <v>0.92361111111111116</v>
      </c>
      <c r="P62" s="169">
        <v>0.97222222222222221</v>
      </c>
      <c r="Q62" s="57">
        <f t="shared" si="6"/>
        <v>4.8611111111111049E-2</v>
      </c>
      <c r="R62" s="165" t="s">
        <v>297</v>
      </c>
      <c r="S62" s="165" t="s">
        <v>298</v>
      </c>
      <c r="T62" s="162" t="s">
        <v>632</v>
      </c>
      <c r="U62" s="162" t="s">
        <v>636</v>
      </c>
      <c r="V62" s="162" t="s">
        <v>634</v>
      </c>
      <c r="W62" s="162" t="s">
        <v>714</v>
      </c>
      <c r="X62" s="196" t="s">
        <v>789</v>
      </c>
      <c r="AD62" s="5">
        <f t="shared" si="3"/>
        <v>145.83333333333314</v>
      </c>
    </row>
    <row r="63" spans="1:32" s="35" customFormat="1" x14ac:dyDescent="0.25">
      <c r="A63" s="21">
        <v>58</v>
      </c>
      <c r="B63" s="35">
        <v>61</v>
      </c>
      <c r="C63" s="36">
        <v>45549</v>
      </c>
      <c r="D63" s="52" t="s">
        <v>616</v>
      </c>
      <c r="E63" s="53" t="s">
        <v>617</v>
      </c>
      <c r="F63" s="35" t="s">
        <v>619</v>
      </c>
      <c r="G63" s="40" t="s">
        <v>128</v>
      </c>
      <c r="H63" s="35" t="s">
        <v>623</v>
      </c>
      <c r="I63" s="75" t="s">
        <v>115</v>
      </c>
      <c r="J63" s="35" t="s">
        <v>628</v>
      </c>
      <c r="K63" s="52">
        <v>75</v>
      </c>
      <c r="L63" s="35">
        <v>56</v>
      </c>
      <c r="M63" s="37">
        <f t="shared" si="4"/>
        <v>1.3392857142857142</v>
      </c>
      <c r="N63" s="38">
        <f t="shared" si="5"/>
        <v>124.44444444444414</v>
      </c>
      <c r="O63" s="39">
        <v>0.35833333333333334</v>
      </c>
      <c r="P63" s="39">
        <v>0.37708333333333338</v>
      </c>
      <c r="Q63" s="60">
        <f t="shared" si="6"/>
        <v>1.8750000000000044E-2</v>
      </c>
      <c r="R63" s="35" t="s">
        <v>625</v>
      </c>
      <c r="S63" s="35" t="s">
        <v>626</v>
      </c>
      <c r="T63" s="35" t="s">
        <v>638</v>
      </c>
      <c r="U63" s="35" t="s">
        <v>634</v>
      </c>
      <c r="V63" s="35" t="s">
        <v>634</v>
      </c>
      <c r="W63" s="35" t="s">
        <v>680</v>
      </c>
      <c r="X63" s="194" t="s">
        <v>790</v>
      </c>
      <c r="Y63" s="35" t="s">
        <v>624</v>
      </c>
      <c r="AD63" s="38">
        <f t="shared" si="3"/>
        <v>56.250000000000135</v>
      </c>
    </row>
    <row r="64" spans="1:32" s="15" customFormat="1" x14ac:dyDescent="0.25">
      <c r="A64" s="21">
        <v>59</v>
      </c>
      <c r="B64" s="15">
        <v>62</v>
      </c>
      <c r="C64" s="16">
        <v>45549</v>
      </c>
      <c r="D64" s="48" t="s">
        <v>617</v>
      </c>
      <c r="E64" s="49" t="s">
        <v>618</v>
      </c>
      <c r="F64" s="15" t="s">
        <v>620</v>
      </c>
      <c r="G64" s="42" t="s">
        <v>128</v>
      </c>
      <c r="H64" s="15" t="s">
        <v>627</v>
      </c>
      <c r="I64" s="17" t="s">
        <v>115</v>
      </c>
      <c r="J64" s="15" t="s">
        <v>629</v>
      </c>
      <c r="K64" s="48">
        <v>152</v>
      </c>
      <c r="L64" s="15">
        <v>118</v>
      </c>
      <c r="M64" s="18">
        <f t="shared" si="4"/>
        <v>1.2881355932203389</v>
      </c>
      <c r="N64" s="19">
        <f t="shared" si="5"/>
        <v>110.62499999999984</v>
      </c>
      <c r="O64" s="20">
        <v>0.86875000000000002</v>
      </c>
      <c r="P64" s="20">
        <v>0.91319444444444453</v>
      </c>
      <c r="Q64" s="58">
        <f t="shared" si="6"/>
        <v>4.4444444444444509E-2</v>
      </c>
      <c r="R64" s="88" t="s">
        <v>165</v>
      </c>
      <c r="S64" s="71" t="s">
        <v>247</v>
      </c>
      <c r="T64" s="15" t="s">
        <v>638</v>
      </c>
      <c r="U64" s="15" t="s">
        <v>634</v>
      </c>
      <c r="V64" s="15" t="s">
        <v>634</v>
      </c>
      <c r="W64" s="15" t="s">
        <v>715</v>
      </c>
      <c r="X64" s="195" t="s">
        <v>791</v>
      </c>
      <c r="AD64" s="19"/>
    </row>
    <row r="65" spans="1:30" s="21" customFormat="1" x14ac:dyDescent="0.25">
      <c r="A65" s="21">
        <v>60</v>
      </c>
      <c r="B65" s="21">
        <v>63</v>
      </c>
      <c r="C65" s="22">
        <v>45553</v>
      </c>
      <c r="D65" s="50" t="s">
        <v>618</v>
      </c>
      <c r="E65" s="51" t="s">
        <v>616</v>
      </c>
      <c r="F65" s="21" t="s">
        <v>621</v>
      </c>
      <c r="G65" s="23" t="s">
        <v>127</v>
      </c>
      <c r="H65" s="21" t="s">
        <v>631</v>
      </c>
      <c r="I65" s="23" t="s">
        <v>115</v>
      </c>
      <c r="J65" s="21" t="s">
        <v>630</v>
      </c>
      <c r="K65" s="50">
        <v>54</v>
      </c>
      <c r="L65" s="21">
        <v>74</v>
      </c>
      <c r="M65" s="24">
        <f t="shared" si="4"/>
        <v>0.72972972972972971</v>
      </c>
      <c r="N65" s="25">
        <f t="shared" si="5"/>
        <v>76.551724137930989</v>
      </c>
      <c r="O65" s="26">
        <v>0.48194444444444445</v>
      </c>
      <c r="P65" s="26">
        <v>0.52222222222222225</v>
      </c>
      <c r="Q65" s="59">
        <f t="shared" si="6"/>
        <v>4.0277777777777801E-2</v>
      </c>
      <c r="R65" s="28" t="s">
        <v>245</v>
      </c>
      <c r="S65" s="28" t="s">
        <v>259</v>
      </c>
      <c r="T65" s="21" t="s">
        <v>632</v>
      </c>
      <c r="U65" s="21" t="s">
        <v>634</v>
      </c>
      <c r="V65" s="21" t="s">
        <v>633</v>
      </c>
      <c r="W65" s="21" t="s">
        <v>681</v>
      </c>
      <c r="X65" s="193" t="s">
        <v>750</v>
      </c>
      <c r="Y65" s="21" t="s">
        <v>624</v>
      </c>
      <c r="AD65" s="25"/>
    </row>
    <row r="66" spans="1:30" x14ac:dyDescent="0.25">
      <c r="A66" s="35">
        <v>61</v>
      </c>
      <c r="B66" s="35">
        <v>64</v>
      </c>
      <c r="C66" s="1">
        <v>45572</v>
      </c>
      <c r="D66" s="46" t="s">
        <v>642</v>
      </c>
      <c r="E66" s="47" t="s">
        <v>643</v>
      </c>
      <c r="F66" s="2" t="s">
        <v>644</v>
      </c>
      <c r="G66" s="78" t="s">
        <v>129</v>
      </c>
      <c r="H66" s="2" t="s">
        <v>646</v>
      </c>
      <c r="I66" s="75" t="s">
        <v>115</v>
      </c>
      <c r="J66" s="2" t="s">
        <v>645</v>
      </c>
      <c r="K66" s="46">
        <v>54</v>
      </c>
      <c r="L66" s="2">
        <v>74</v>
      </c>
      <c r="M66" s="54">
        <f t="shared" si="4"/>
        <v>0.72972972972972971</v>
      </c>
      <c r="N66" s="5">
        <f t="shared" si="5"/>
        <v>85.384615384615429</v>
      </c>
      <c r="O66" s="55">
        <v>0.91249999999999998</v>
      </c>
      <c r="P66" s="55">
        <v>0.94861111111111107</v>
      </c>
      <c r="Q66" s="57">
        <f t="shared" si="6"/>
        <v>3.6111111111111094E-2</v>
      </c>
      <c r="R66" s="130" t="s">
        <v>165</v>
      </c>
      <c r="S66" s="81" t="s">
        <v>247</v>
      </c>
      <c r="U66" s="2" t="s">
        <v>647</v>
      </c>
      <c r="V66" s="2" t="s">
        <v>305</v>
      </c>
      <c r="W66" s="176" t="s">
        <v>681</v>
      </c>
      <c r="X66" s="191" t="s">
        <v>750</v>
      </c>
    </row>
    <row r="67" spans="1:30" s="21" customFormat="1" x14ac:dyDescent="0.25">
      <c r="A67" s="21">
        <v>62</v>
      </c>
      <c r="B67" s="21">
        <v>65</v>
      </c>
      <c r="C67" s="22">
        <v>45639</v>
      </c>
      <c r="D67" s="50" t="s">
        <v>16</v>
      </c>
      <c r="E67" s="51" t="s">
        <v>617</v>
      </c>
      <c r="F67" s="21" t="s">
        <v>649</v>
      </c>
      <c r="G67" s="30" t="s">
        <v>128</v>
      </c>
      <c r="H67" s="21" t="s">
        <v>144</v>
      </c>
      <c r="I67" s="23" t="s">
        <v>115</v>
      </c>
      <c r="J67" s="21" t="s">
        <v>650</v>
      </c>
      <c r="K67" s="50">
        <v>75</v>
      </c>
      <c r="L67" s="21">
        <v>56</v>
      </c>
      <c r="M67" s="24">
        <f t="shared" si="4"/>
        <v>1.3392857142857142</v>
      </c>
      <c r="N67" s="25">
        <f t="shared" si="5"/>
        <v>134.40000000000003</v>
      </c>
      <c r="O67" s="26">
        <v>0.28333333333333333</v>
      </c>
      <c r="P67" s="26">
        <v>0.30069444444444443</v>
      </c>
      <c r="Q67" s="59">
        <f t="shared" si="6"/>
        <v>1.7361111111111105E-2</v>
      </c>
      <c r="R67" s="143" t="s">
        <v>165</v>
      </c>
      <c r="S67" s="27" t="s">
        <v>247</v>
      </c>
      <c r="T67" s="21" t="s">
        <v>638</v>
      </c>
      <c r="W67" s="21" t="s">
        <v>680</v>
      </c>
      <c r="X67" s="193" t="s">
        <v>790</v>
      </c>
      <c r="AD67" s="25"/>
    </row>
    <row r="68" spans="1:30" x14ac:dyDescent="0.25">
      <c r="A68" s="127">
        <v>63</v>
      </c>
      <c r="B68" s="2">
        <v>66</v>
      </c>
      <c r="C68" s="1">
        <v>45651</v>
      </c>
      <c r="D68" s="46" t="s">
        <v>16</v>
      </c>
      <c r="E68" s="47" t="s">
        <v>5</v>
      </c>
      <c r="F68" s="2" t="s">
        <v>651</v>
      </c>
      <c r="G68" s="133" t="s">
        <v>127</v>
      </c>
      <c r="H68" s="2" t="s">
        <v>137</v>
      </c>
      <c r="I68" s="133" t="s">
        <v>115</v>
      </c>
      <c r="J68" s="2" t="s">
        <v>652</v>
      </c>
      <c r="K68" s="46">
        <v>54</v>
      </c>
      <c r="L68" s="2">
        <v>74</v>
      </c>
      <c r="M68" s="54">
        <f t="shared" si="4"/>
        <v>0.72972972972972971</v>
      </c>
      <c r="N68" s="5">
        <f t="shared" si="5"/>
        <v>98.666666666666671</v>
      </c>
      <c r="O68" s="55">
        <v>0.89930555555555547</v>
      </c>
      <c r="P68" s="55">
        <v>0.93055555555555547</v>
      </c>
      <c r="Q68" s="57">
        <f t="shared" si="6"/>
        <v>3.125E-2</v>
      </c>
      <c r="R68" s="182" t="s">
        <v>165</v>
      </c>
      <c r="S68" s="183" t="s">
        <v>247</v>
      </c>
      <c r="U68" s="2" t="s">
        <v>275</v>
      </c>
      <c r="V68" s="2" t="s">
        <v>289</v>
      </c>
      <c r="W68" s="176" t="s">
        <v>681</v>
      </c>
      <c r="X68" s="191" t="s">
        <v>749</v>
      </c>
    </row>
    <row r="69" spans="1:30" s="21" customFormat="1" x14ac:dyDescent="0.25">
      <c r="A69" s="21">
        <v>64</v>
      </c>
      <c r="B69" s="21">
        <v>67</v>
      </c>
      <c r="C69" s="22">
        <v>45658</v>
      </c>
      <c r="D69" s="50" t="s">
        <v>654</v>
      </c>
      <c r="E69" s="51" t="s">
        <v>656</v>
      </c>
      <c r="F69" s="21" t="s">
        <v>657</v>
      </c>
      <c r="G69" s="141" t="s">
        <v>129</v>
      </c>
      <c r="H69" s="21" t="s">
        <v>144</v>
      </c>
      <c r="I69" s="23" t="s">
        <v>115</v>
      </c>
      <c r="J69" s="21" t="s">
        <v>659</v>
      </c>
      <c r="K69" s="50">
        <v>71</v>
      </c>
      <c r="L69" s="21">
        <v>169</v>
      </c>
      <c r="M69" s="24">
        <f t="shared" si="4"/>
        <v>0.42011834319526625</v>
      </c>
      <c r="N69" s="25">
        <f t="shared" si="5"/>
        <v>191.32075471698124</v>
      </c>
      <c r="O69" s="26">
        <v>0.95347222222222217</v>
      </c>
      <c r="P69" s="26">
        <v>0.9902777777777777</v>
      </c>
      <c r="Q69" s="59">
        <f t="shared" si="6"/>
        <v>3.6805555555555536E-2</v>
      </c>
      <c r="R69" s="184" t="s">
        <v>165</v>
      </c>
      <c r="S69" s="184" t="s">
        <v>658</v>
      </c>
      <c r="U69" s="21" t="s">
        <v>289</v>
      </c>
      <c r="V69" s="21" t="s">
        <v>289</v>
      </c>
      <c r="W69" s="21" t="s">
        <v>716</v>
      </c>
      <c r="X69" s="193" t="s">
        <v>792</v>
      </c>
      <c r="AD69" s="25"/>
    </row>
    <row r="70" spans="1:30" x14ac:dyDescent="0.25">
      <c r="A70" s="127">
        <v>65</v>
      </c>
      <c r="B70" s="176">
        <v>68</v>
      </c>
      <c r="C70" s="1">
        <v>45664</v>
      </c>
      <c r="D70" s="46" t="s">
        <v>661</v>
      </c>
      <c r="E70" s="47" t="s">
        <v>663</v>
      </c>
      <c r="F70" s="2" t="s">
        <v>664</v>
      </c>
      <c r="G70" s="128" t="s">
        <v>129</v>
      </c>
      <c r="H70" s="2" t="s">
        <v>315</v>
      </c>
      <c r="I70" s="133" t="s">
        <v>115</v>
      </c>
      <c r="J70" s="2" t="s">
        <v>659</v>
      </c>
      <c r="K70" s="46">
        <v>110</v>
      </c>
      <c r="L70" s="2">
        <v>378</v>
      </c>
      <c r="M70" s="54">
        <f t="shared" si="4"/>
        <v>0.29100529100529099</v>
      </c>
      <c r="N70" s="5">
        <f t="shared" si="5"/>
        <v>145.38461538461539</v>
      </c>
      <c r="O70" s="55">
        <v>0.30833333333333335</v>
      </c>
      <c r="P70" s="55">
        <v>0.41666666666666669</v>
      </c>
      <c r="Q70" s="57">
        <f t="shared" si="6"/>
        <v>0.10833333333333334</v>
      </c>
      <c r="R70" s="177" t="s">
        <v>666</v>
      </c>
      <c r="S70" s="177" t="s">
        <v>667</v>
      </c>
      <c r="U70" s="176" t="s">
        <v>289</v>
      </c>
      <c r="V70" s="176" t="s">
        <v>289</v>
      </c>
      <c r="W70" s="176" t="s">
        <v>717</v>
      </c>
      <c r="X70" s="191" t="s">
        <v>793</v>
      </c>
    </row>
    <row r="71" spans="1:30" s="21" customFormat="1" x14ac:dyDescent="0.25">
      <c r="A71" s="21">
        <v>66</v>
      </c>
      <c r="B71" s="21">
        <v>69</v>
      </c>
      <c r="C71" s="22">
        <v>45666</v>
      </c>
      <c r="D71" s="50" t="s">
        <v>663</v>
      </c>
      <c r="E71" s="51" t="s">
        <v>669</v>
      </c>
      <c r="F71" s="21" t="s">
        <v>670</v>
      </c>
      <c r="G71" s="141" t="s">
        <v>129</v>
      </c>
      <c r="H71" s="21" t="s">
        <v>315</v>
      </c>
      <c r="I71" s="181" t="s">
        <v>200</v>
      </c>
      <c r="J71" s="21" t="s">
        <v>671</v>
      </c>
      <c r="K71" s="50">
        <v>13</v>
      </c>
      <c r="L71" s="21">
        <v>32</v>
      </c>
      <c r="M71" s="24">
        <f t="shared" si="4"/>
        <v>0.40625</v>
      </c>
      <c r="N71" s="25">
        <f t="shared" si="5"/>
        <v>137.14285714285606</v>
      </c>
      <c r="O71" s="26">
        <v>0.40138888888888885</v>
      </c>
      <c r="P71" s="26">
        <v>0.41111111111111115</v>
      </c>
      <c r="Q71" s="59">
        <f t="shared" si="6"/>
        <v>9.7222222222222987E-3</v>
      </c>
      <c r="R71" s="181" t="s">
        <v>666</v>
      </c>
      <c r="S71" s="181" t="s">
        <v>667</v>
      </c>
      <c r="U71" s="21" t="s">
        <v>289</v>
      </c>
      <c r="V71" s="21" t="s">
        <v>300</v>
      </c>
      <c r="W71" s="21" t="s">
        <v>706</v>
      </c>
      <c r="X71" s="193" t="s">
        <v>794</v>
      </c>
      <c r="AD71" s="25"/>
    </row>
    <row r="72" spans="1:30" s="21" customFormat="1" x14ac:dyDescent="0.25">
      <c r="A72" s="21">
        <v>67</v>
      </c>
      <c r="B72" s="21">
        <v>70</v>
      </c>
      <c r="C72" s="22">
        <v>45836</v>
      </c>
      <c r="D72" s="50" t="s">
        <v>864</v>
      </c>
      <c r="E72" s="51" t="s">
        <v>865</v>
      </c>
      <c r="F72" s="21" t="s">
        <v>866</v>
      </c>
      <c r="G72" s="23" t="s">
        <v>127</v>
      </c>
      <c r="H72" s="21" t="s">
        <v>137</v>
      </c>
      <c r="I72" s="23" t="s">
        <v>115</v>
      </c>
      <c r="J72" s="21" t="s">
        <v>867</v>
      </c>
      <c r="K72" s="50">
        <v>53</v>
      </c>
      <c r="L72" s="21">
        <v>74</v>
      </c>
      <c r="M72" s="24">
        <f t="shared" si="4"/>
        <v>0.71621621621621623</v>
      </c>
      <c r="N72" s="25">
        <f t="shared" si="5"/>
        <v>94.468085106382986</v>
      </c>
      <c r="O72" s="26">
        <v>0.62638888888888888</v>
      </c>
      <c r="P72" s="26">
        <v>0.65902777777777777</v>
      </c>
      <c r="Q72" s="59">
        <f t="shared" si="6"/>
        <v>3.2638888888888884E-2</v>
      </c>
      <c r="R72" s="143" t="s">
        <v>165</v>
      </c>
      <c r="S72" s="27" t="s">
        <v>247</v>
      </c>
      <c r="X72" s="193" t="s">
        <v>750</v>
      </c>
      <c r="AD72" s="25"/>
    </row>
    <row r="73" spans="1:30" s="21" customFormat="1" x14ac:dyDescent="0.25">
      <c r="A73" s="21">
        <v>68</v>
      </c>
      <c r="B73" s="21">
        <v>71</v>
      </c>
      <c r="C73" s="22">
        <v>46038</v>
      </c>
      <c r="D73" s="50" t="s">
        <v>864</v>
      </c>
      <c r="E73" s="51" t="s">
        <v>865</v>
      </c>
      <c r="F73" s="21" t="s">
        <v>868</v>
      </c>
      <c r="G73" s="30" t="s">
        <v>128</v>
      </c>
      <c r="H73" s="21" t="s">
        <v>869</v>
      </c>
      <c r="I73" s="23" t="s">
        <v>115</v>
      </c>
      <c r="J73" s="21" t="s">
        <v>870</v>
      </c>
      <c r="K73" s="50">
        <v>58</v>
      </c>
      <c r="L73" s="21">
        <v>74</v>
      </c>
      <c r="M73" s="24">
        <f t="shared" si="4"/>
        <v>0.78378378378378377</v>
      </c>
      <c r="N73" s="25">
        <f t="shared" si="5"/>
        <v>90.612244897959215</v>
      </c>
      <c r="O73" s="26">
        <v>0.34722222222222227</v>
      </c>
      <c r="P73" s="26">
        <v>0.38125000000000003</v>
      </c>
      <c r="Q73" s="59">
        <f t="shared" si="6"/>
        <v>3.4027777777777768E-2</v>
      </c>
      <c r="R73" s="143" t="s">
        <v>165</v>
      </c>
      <c r="S73" s="27" t="s">
        <v>247</v>
      </c>
      <c r="T73" s="21" t="s">
        <v>871</v>
      </c>
      <c r="X73" s="193" t="s">
        <v>750</v>
      </c>
      <c r="AD73" s="25"/>
    </row>
  </sheetData>
  <autoFilter ref="A1:AF71" xr:uid="{00000000-0001-0000-0000-000000000000}"/>
  <sortState xmlns:xlrd2="http://schemas.microsoft.com/office/spreadsheetml/2017/richdata2" ref="C3:Q42">
    <sortCondition ref="C3:C42"/>
  </sortState>
  <mergeCells count="3">
    <mergeCell ref="A38:A39"/>
    <mergeCell ref="A25:A26"/>
    <mergeCell ref="A33:A3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CCE7-5660-452D-BDBE-222B09F3040F}">
  <dimension ref="A1:CO112"/>
  <sheetViews>
    <sheetView topLeftCell="V1" zoomScale="115" zoomScaleNormal="115" workbookViewId="0">
      <pane ySplit="2" topLeftCell="A3" activePane="bottomLeft" state="frozen"/>
      <selection pane="bottomLeft" activeCell="P11" sqref="P11"/>
    </sheetView>
  </sheetViews>
  <sheetFormatPr defaultRowHeight="13.8" x14ac:dyDescent="0.25"/>
  <cols>
    <col min="1" max="1" width="3.77734375" customWidth="1"/>
    <col min="3" max="3" width="4.6640625" customWidth="1"/>
    <col min="5" max="5" width="4.44140625" customWidth="1"/>
    <col min="7" max="7" width="4.21875" style="94" customWidth="1"/>
    <col min="8" max="9" width="3.33203125" customWidth="1"/>
    <col min="10" max="10" width="3.77734375" customWidth="1"/>
    <col min="11" max="11" width="11.5546875" customWidth="1"/>
    <col min="12" max="12" width="4.21875" customWidth="1"/>
    <col min="13" max="13" width="8.21875" style="93" customWidth="1"/>
    <col min="14" max="14" width="6.77734375" style="218" customWidth="1"/>
    <col min="15" max="15" width="6.21875" style="102" customWidth="1"/>
    <col min="16" max="16" width="5.77734375" style="150" customWidth="1"/>
    <col min="17" max="17" width="6.109375" style="148" customWidth="1"/>
    <col min="18" max="18" width="3.77734375" style="148" customWidth="1"/>
    <col min="19" max="19" width="12.109375" style="217" customWidth="1"/>
    <col min="20" max="20" width="3" style="220" customWidth="1"/>
    <col min="21" max="21" width="8.21875" style="221" customWidth="1"/>
    <col min="22" max="22" width="6.21875" style="102" customWidth="1"/>
    <col min="23" max="23" width="3.77734375" style="102" customWidth="1"/>
    <col min="24" max="24" width="8.21875" style="116" customWidth="1"/>
    <col min="25" max="25" width="3.77734375" customWidth="1"/>
    <col min="26" max="26" width="8.21875" style="93" customWidth="1"/>
    <col min="27" max="27" width="6.5546875" style="218" customWidth="1"/>
    <col min="28" max="28" width="6.21875" style="102" customWidth="1"/>
    <col min="29" max="29" width="6.109375" style="102" customWidth="1"/>
    <col min="30" max="30" width="6.21875" style="102" customWidth="1"/>
    <col min="31" max="31" width="2.44140625" style="123" customWidth="1"/>
    <col min="32" max="32" width="3.77734375" customWidth="1"/>
    <col min="33" max="33" width="11.21875" style="103" customWidth="1"/>
    <col min="34" max="34" width="9.44140625" style="3" customWidth="1"/>
    <col min="35" max="35" width="3.109375" customWidth="1"/>
    <col min="36" max="36" width="3.88671875" style="3" customWidth="1"/>
    <col min="37" max="37" width="8.21875" style="93" customWidth="1"/>
    <col min="38" max="38" width="8.21875" style="95" customWidth="1"/>
    <col min="39" max="39" width="7.109375" style="218" customWidth="1"/>
    <col min="40" max="40" width="6.33203125" style="218" customWidth="1"/>
    <col min="41" max="41" width="6.21875" style="102" customWidth="1"/>
    <col min="42" max="42" width="5.21875" style="102" customWidth="1"/>
    <col min="43" max="43" width="4.5546875" style="102" customWidth="1"/>
    <col min="44" max="44" width="4.44140625" style="102" customWidth="1"/>
    <col min="45" max="45" width="6.21875" style="102" customWidth="1"/>
    <col min="46" max="46" width="6.5546875" style="102" customWidth="1"/>
    <col min="49" max="49" width="33.88671875" customWidth="1"/>
    <col min="50" max="50" width="15.5546875" customWidth="1"/>
  </cols>
  <sheetData>
    <row r="1" spans="1:93" ht="3.6" customHeight="1" thickBot="1" x14ac:dyDescent="0.3">
      <c r="S1" s="272"/>
      <c r="AH1" s="172"/>
      <c r="AJ1" s="172"/>
    </row>
    <row r="2" spans="1:93" s="12" customFormat="1" x14ac:dyDescent="0.25">
      <c r="A2"/>
      <c r="B2" s="265" t="s">
        <v>171</v>
      </c>
      <c r="C2" s="265"/>
      <c r="D2" s="265" t="s">
        <v>174</v>
      </c>
      <c r="E2" s="265"/>
      <c r="F2" s="265" t="s">
        <v>175</v>
      </c>
      <c r="G2" s="275"/>
      <c r="H2" s="265"/>
      <c r="I2" s="265"/>
      <c r="J2"/>
      <c r="K2" s="265" t="s">
        <v>126</v>
      </c>
      <c r="L2" s="265"/>
      <c r="M2" s="266"/>
      <c r="N2" s="267" t="s">
        <v>163</v>
      </c>
      <c r="O2" s="268" t="s">
        <v>558</v>
      </c>
      <c r="P2" s="276" t="s">
        <v>168</v>
      </c>
      <c r="Q2" s="269" t="s">
        <v>606</v>
      </c>
      <c r="R2" s="216"/>
      <c r="S2" s="277" t="s">
        <v>860</v>
      </c>
      <c r="T2" s="278"/>
      <c r="U2" s="268" t="s">
        <v>163</v>
      </c>
      <c r="V2" s="265"/>
      <c r="W2" s="219"/>
      <c r="X2" s="270" t="s">
        <v>186</v>
      </c>
      <c r="Y2" s="271" t="s">
        <v>255</v>
      </c>
      <c r="Z2" s="266"/>
      <c r="AA2" s="267" t="s">
        <v>163</v>
      </c>
      <c r="AB2" s="268" t="s">
        <v>558</v>
      </c>
      <c r="AC2" s="269" t="s">
        <v>168</v>
      </c>
      <c r="AD2" s="269" t="s">
        <v>606</v>
      </c>
      <c r="AE2" s="265"/>
      <c r="AF2"/>
      <c r="AG2" s="264" t="s">
        <v>514</v>
      </c>
      <c r="AH2" s="273" t="s">
        <v>296</v>
      </c>
      <c r="AI2" s="265"/>
      <c r="AJ2" s="273"/>
      <c r="AK2" s="266"/>
      <c r="AL2" s="274"/>
      <c r="AM2" s="290" t="s">
        <v>163</v>
      </c>
      <c r="AN2" s="290"/>
      <c r="AO2" s="290" t="s">
        <v>558</v>
      </c>
      <c r="AP2" s="290"/>
      <c r="AQ2" s="314" t="s">
        <v>168</v>
      </c>
      <c r="AR2" s="314"/>
      <c r="AS2" s="314" t="s">
        <v>606</v>
      </c>
      <c r="AT2" s="314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</row>
    <row r="3" spans="1:93" x14ac:dyDescent="0.25">
      <c r="B3" t="s">
        <v>92</v>
      </c>
      <c r="C3">
        <f>COUNTIF(all!D$3:D$1003,B3)</f>
        <v>1</v>
      </c>
      <c r="D3" t="s">
        <v>94</v>
      </c>
      <c r="E3">
        <f>COUNTIF(all!E$3:E$1003,D3)</f>
        <v>1</v>
      </c>
      <c r="F3" t="s">
        <v>92</v>
      </c>
      <c r="G3" s="94">
        <f t="shared" ref="G3:G35" si="0">H3+I3</f>
        <v>1</v>
      </c>
      <c r="H3">
        <f t="shared" ref="H3:H50" si="1">SUMIF(B:B,F3,C:C)</f>
        <v>1</v>
      </c>
      <c r="I3">
        <f t="shared" ref="I3:I50" si="2">SUMIF(D:D,F3,E:E)</f>
        <v>0</v>
      </c>
      <c r="K3" s="96" t="s">
        <v>497</v>
      </c>
      <c r="L3" s="96">
        <f>COUNTIF(all!H$3:H$1003,K3)</f>
        <v>0</v>
      </c>
      <c r="M3" s="97">
        <f>SUMIF(all!H:H,processed!K3,all!Q:Q)</f>
        <v>0</v>
      </c>
      <c r="N3" s="222">
        <f>SUMIF(all!H:H,processed!K3,all!L:L)</f>
        <v>0</v>
      </c>
      <c r="O3" s="101">
        <f>SUMIF(all!H:H,processed!K3,all!K:K)</f>
        <v>0</v>
      </c>
      <c r="P3" s="149"/>
      <c r="Q3" s="147"/>
      <c r="R3" s="147"/>
      <c r="S3" s="217" t="s">
        <v>828</v>
      </c>
      <c r="T3" s="220">
        <f>COUNTIF(detailed_route!F:AJ,processed!S3)</f>
        <v>3</v>
      </c>
      <c r="U3" s="221">
        <f>SUMIF(detailed_route_test!A:A,processed!S3,detailed_route_test!B:B)</f>
        <v>1497</v>
      </c>
      <c r="X3" s="110" t="s">
        <v>127</v>
      </c>
      <c r="Y3">
        <f>COUNTIF(all!G$3:G$1003,X3)</f>
        <v>23</v>
      </c>
      <c r="Z3" s="93">
        <f>SUMIF(all!G:G,processed!X3,all!Q:Q)</f>
        <v>1.0381944444444444</v>
      </c>
      <c r="AA3" s="222">
        <f>SUMIF(all!G:G,processed!X3,all!L:L)</f>
        <v>3181</v>
      </c>
      <c r="AB3" s="101">
        <f>SUMIF(all!G:G,processed!X3,all!K:K)</f>
        <v>1450</v>
      </c>
      <c r="AC3" s="149">
        <f t="shared" ref="AC3:AC8" si="3">AB3/AA3</f>
        <v>0.45583149952845015</v>
      </c>
      <c r="AD3" s="147">
        <f t="shared" ref="AD3:AD8" si="4">AA3/(Z3*24)</f>
        <v>127.6655518394649</v>
      </c>
      <c r="AE3" s="117" t="s">
        <v>12</v>
      </c>
      <c r="AG3" s="291" t="s">
        <v>165</v>
      </c>
      <c r="AH3" s="73" t="s">
        <v>260</v>
      </c>
      <c r="AI3">
        <f>COUNTIF(all!S$3:S$1003,AH3)</f>
        <v>8</v>
      </c>
      <c r="AJ3" s="304">
        <f>SUM(AI3:AI8)</f>
        <v>39</v>
      </c>
      <c r="AK3" s="93">
        <f>SUMIF(all!S:S,processed!AH3,all!Q:Q)</f>
        <v>0.48819444444444443</v>
      </c>
      <c r="AL3" s="300">
        <f>SUM(AK3:AK8)</f>
        <v>1.7402777777777776</v>
      </c>
      <c r="AM3" s="223">
        <f>SUMIF(all!S:S,processed!AH3,all!L:L)</f>
        <v>1713</v>
      </c>
      <c r="AN3" s="285">
        <f>SUM(AM3:AM8)</f>
        <v>5648</v>
      </c>
      <c r="AO3" s="152">
        <f>SUMIF(all!S:S,processed!AH3,all!K:K)</f>
        <v>829</v>
      </c>
      <c r="AP3" s="287">
        <f>SUM(AO3:AO8)</f>
        <v>3182.5</v>
      </c>
      <c r="AQ3" s="151">
        <f>AO3/AM3</f>
        <v>0.4839462930531232</v>
      </c>
      <c r="AR3" s="315">
        <f>AP3/AN3</f>
        <v>0.56347379603399439</v>
      </c>
      <c r="AS3" s="147">
        <f>AM3/(AK3*24)</f>
        <v>146.20199146514935</v>
      </c>
      <c r="AT3" s="313">
        <f>AN3/(AL3*24)</f>
        <v>135.22745411013568</v>
      </c>
    </row>
    <row r="4" spans="1:93" x14ac:dyDescent="0.25">
      <c r="B4" t="s">
        <v>4</v>
      </c>
      <c r="C4">
        <f>COUNTIF(all!D$3:D$1003,B4)</f>
        <v>14</v>
      </c>
      <c r="D4" t="s">
        <v>6</v>
      </c>
      <c r="E4">
        <f>COUNTIF(all!E$3:E$1003,D4)</f>
        <v>1</v>
      </c>
      <c r="F4" t="s">
        <v>4</v>
      </c>
      <c r="G4" s="94">
        <f t="shared" si="0"/>
        <v>31</v>
      </c>
      <c r="H4">
        <f t="shared" si="1"/>
        <v>14</v>
      </c>
      <c r="I4">
        <f t="shared" si="2"/>
        <v>17</v>
      </c>
      <c r="K4" s="96" t="s">
        <v>194</v>
      </c>
      <c r="L4" s="96">
        <f>COUNTIF(all!H$3:H$1003,K4)</f>
        <v>9</v>
      </c>
      <c r="M4" s="97">
        <f>SUMIF(all!H:H,processed!K4,all!Q:Q)</f>
        <v>1.2930555555555554</v>
      </c>
      <c r="N4" s="222">
        <f>SUMIF(all!H:H,processed!K4,all!L:L)</f>
        <v>2134</v>
      </c>
      <c r="O4" s="101">
        <f>SUMIF(all!H:H,processed!K4,all!K:K)</f>
        <v>488</v>
      </c>
      <c r="P4" s="149">
        <f>O4/N4</f>
        <v>0.22867853795688847</v>
      </c>
      <c r="Q4" s="147">
        <f>N4/(M4*24)</f>
        <v>68.764769065520952</v>
      </c>
      <c r="R4" s="147"/>
      <c r="S4" s="217" t="s">
        <v>524</v>
      </c>
      <c r="T4" s="220">
        <f>COUNTIF(detailed_route!F:AJ,processed!S4)</f>
        <v>30</v>
      </c>
      <c r="U4" s="221">
        <f>SUMIF(detailed_route_test!A:A,processed!S4,detailed_route_test!B:B)</f>
        <v>1360</v>
      </c>
      <c r="X4" s="111" t="s">
        <v>128</v>
      </c>
      <c r="Y4">
        <f>COUNTIF(all!G$3:G$1003,X4)</f>
        <v>25</v>
      </c>
      <c r="Z4" s="93">
        <f>SUMIF(all!G:G,processed!X4,all!Q:Q)</f>
        <v>1.1722222222222225</v>
      </c>
      <c r="AA4" s="222">
        <f>SUMIF(all!G:G,processed!X4,all!L:L)</f>
        <v>4879</v>
      </c>
      <c r="AB4" s="101">
        <f>SUMIF(all!G:G,processed!X4,all!K:K)</f>
        <v>2784</v>
      </c>
      <c r="AC4" s="149">
        <f t="shared" si="3"/>
        <v>0.57060873129739698</v>
      </c>
      <c r="AD4" s="147">
        <f t="shared" si="4"/>
        <v>173.42417061611371</v>
      </c>
      <c r="AE4" s="118" t="s">
        <v>209</v>
      </c>
      <c r="AG4" s="291"/>
      <c r="AH4" s="90" t="s">
        <v>253</v>
      </c>
      <c r="AI4">
        <f>COUNTIF(all!S$3:S$1003,AH4)</f>
        <v>4</v>
      </c>
      <c r="AJ4" s="304"/>
      <c r="AK4" s="93">
        <f>SUMIF(all!S:S,processed!AH4,all!Q:Q)</f>
        <v>0.30277777777777781</v>
      </c>
      <c r="AL4" s="300"/>
      <c r="AM4" s="223">
        <f>SUMIF(all!S:S,processed!AH4,all!L:L)</f>
        <v>1385</v>
      </c>
      <c r="AN4" s="285"/>
      <c r="AO4" s="152">
        <f>SUMIF(all!S:S,processed!AH4,all!K:K)</f>
        <v>723</v>
      </c>
      <c r="AP4" s="287"/>
      <c r="AQ4" s="151">
        <f>AO4/AM4</f>
        <v>0.52202166064981947</v>
      </c>
      <c r="AR4" s="315"/>
      <c r="AS4" s="147">
        <f>AM4/(AK4*24)</f>
        <v>190.59633027522935</v>
      </c>
      <c r="AT4" s="313"/>
    </row>
    <row r="5" spans="1:93" x14ac:dyDescent="0.25">
      <c r="B5" t="s">
        <v>10</v>
      </c>
      <c r="C5">
        <f>COUNTIF(all!D$3:D$1003,B5)</f>
        <v>1</v>
      </c>
      <c r="D5" t="s">
        <v>4</v>
      </c>
      <c r="E5">
        <f>COUNTIF(all!E$3:E$1003,D5)</f>
        <v>17</v>
      </c>
      <c r="F5" t="s">
        <v>10</v>
      </c>
      <c r="G5" s="94">
        <f t="shared" si="0"/>
        <v>1</v>
      </c>
      <c r="H5">
        <f t="shared" si="1"/>
        <v>1</v>
      </c>
      <c r="I5">
        <f t="shared" si="2"/>
        <v>0</v>
      </c>
      <c r="K5" s="96" t="s">
        <v>197</v>
      </c>
      <c r="L5" s="96">
        <f>COUNTIF(all!H$3:H$1003,K5)</f>
        <v>1</v>
      </c>
      <c r="M5" s="97">
        <f>SUMIF(all!H:H,processed!K5,all!Q:Q)</f>
        <v>6.1111111111111061E-2</v>
      </c>
      <c r="N5" s="222">
        <f>SUMIF(all!H:H,processed!K5,all!L:L)</f>
        <v>115</v>
      </c>
      <c r="O5" s="101">
        <f>SUMIF(all!H:H,processed!K5,all!K:K)</f>
        <v>22.5</v>
      </c>
      <c r="P5" s="149">
        <f>O5/N5</f>
        <v>0.19565217391304349</v>
      </c>
      <c r="Q5" s="147">
        <f>N5/(M5*24)</f>
        <v>78.409090909090978</v>
      </c>
      <c r="R5" s="147"/>
      <c r="S5" s="217" t="s">
        <v>532</v>
      </c>
      <c r="T5" s="220">
        <f>COUNTIF(detailed_route!F:AJ,processed!S5)</f>
        <v>32</v>
      </c>
      <c r="U5" s="221">
        <f>SUMIF(detailed_route_test!A:A,processed!S5,detailed_route_test!B:B)</f>
        <v>1303</v>
      </c>
      <c r="X5" s="112" t="s">
        <v>129</v>
      </c>
      <c r="Y5">
        <f>COUNTIF(all!G$3:G$1003,X5)</f>
        <v>12</v>
      </c>
      <c r="Z5" s="93">
        <f>SUMIF(all!G:G,processed!X5,all!Q:Q)</f>
        <v>0.48194444444444445</v>
      </c>
      <c r="AA5" s="222">
        <f>SUMIF(all!G:G,processed!X5,all!L:L)</f>
        <v>1405</v>
      </c>
      <c r="AB5" s="101">
        <f>SUMIF(all!G:G,processed!X5,all!K:K)</f>
        <v>717.5</v>
      </c>
      <c r="AC5" s="149">
        <f t="shared" si="3"/>
        <v>0.51067615658362986</v>
      </c>
      <c r="AD5" s="147">
        <f t="shared" si="4"/>
        <v>121.46974063400576</v>
      </c>
      <c r="AE5" s="119" t="s">
        <v>210</v>
      </c>
      <c r="AG5" s="291"/>
      <c r="AH5" s="14" t="s">
        <v>247</v>
      </c>
      <c r="AI5">
        <f>COUNTIF(all!S$3:S$1003,AH5)</f>
        <v>26</v>
      </c>
      <c r="AJ5" s="304"/>
      <c r="AK5" s="93">
        <f>SUMIF(all!S:S,processed!AH5,all!Q:Q)</f>
        <v>0.91249999999999987</v>
      </c>
      <c r="AL5" s="300"/>
      <c r="AM5" s="223">
        <f>SUMIF(all!S:S,processed!AH5,all!L:L)</f>
        <v>2381</v>
      </c>
      <c r="AN5" s="285"/>
      <c r="AO5" s="152">
        <f>SUMIF(all!S:S,processed!AH5,all!K:K)</f>
        <v>1559.5</v>
      </c>
      <c r="AP5" s="287"/>
      <c r="AQ5" s="151">
        <f>AO5/AM5</f>
        <v>0.65497690046199075</v>
      </c>
      <c r="AR5" s="315"/>
      <c r="AS5" s="147">
        <f>AM5/(AK5*24)</f>
        <v>108.72146118721462</v>
      </c>
      <c r="AT5" s="313"/>
    </row>
    <row r="6" spans="1:93" x14ac:dyDescent="0.25">
      <c r="B6" t="s">
        <v>522</v>
      </c>
      <c r="C6">
        <f>COUNTIF(all!D$3:D$1003,B6)</f>
        <v>1</v>
      </c>
      <c r="D6" t="s">
        <v>522</v>
      </c>
      <c r="E6">
        <f>COUNTIF(all!E$3:E$1003,D6)</f>
        <v>1</v>
      </c>
      <c r="F6" t="s">
        <v>522</v>
      </c>
      <c r="G6" s="94">
        <f t="shared" si="0"/>
        <v>2</v>
      </c>
      <c r="H6">
        <f t="shared" si="1"/>
        <v>1</v>
      </c>
      <c r="I6">
        <f t="shared" si="2"/>
        <v>1</v>
      </c>
      <c r="K6" s="96" t="s">
        <v>498</v>
      </c>
      <c r="L6" s="96">
        <f>COUNTIF(all!H$3:H$1003,K6)</f>
        <v>0</v>
      </c>
      <c r="M6" s="97">
        <f>SUMIF(all!H:H,processed!K6,all!Q:Q)</f>
        <v>0</v>
      </c>
      <c r="N6" s="222">
        <f>SUMIF(all!H:H,processed!K6,all!L:L)</f>
        <v>0</v>
      </c>
      <c r="O6" s="101">
        <f>SUMIF(all!H:H,processed!K6,all!K:K)</f>
        <v>0</v>
      </c>
      <c r="P6" s="149"/>
      <c r="Q6" s="147"/>
      <c r="R6" s="147"/>
      <c r="S6" s="217" t="s">
        <v>798</v>
      </c>
      <c r="T6" s="220">
        <f>COUNTIF(detailed_route!F:AJ,processed!S6)</f>
        <v>3</v>
      </c>
      <c r="U6" s="221">
        <f>SUMIF(detailed_route_test!A:A,processed!S6,detailed_route_test!B:B)</f>
        <v>1071</v>
      </c>
      <c r="X6" s="113" t="s">
        <v>130</v>
      </c>
      <c r="Y6">
        <f>COUNTIF(all!G$3:G$1003,X6)</f>
        <v>7</v>
      </c>
      <c r="Z6" s="93">
        <f>SUMIF(all!G:G,processed!X6,all!Q:Q)</f>
        <v>1.0291666666666666</v>
      </c>
      <c r="AA6" s="222">
        <f>SUMIF(all!G:G,processed!X6,all!L:L)</f>
        <v>1769</v>
      </c>
      <c r="AB6" s="101">
        <f>SUMIF(all!G:G,processed!X6,all!K:K)</f>
        <v>440</v>
      </c>
      <c r="AC6" s="149">
        <f t="shared" si="3"/>
        <v>0.24872809496890899</v>
      </c>
      <c r="AD6" s="147">
        <f t="shared" si="4"/>
        <v>71.619433198380577</v>
      </c>
      <c r="AE6" s="120" t="s">
        <v>211</v>
      </c>
      <c r="AG6" s="291"/>
      <c r="AH6" s="89" t="s">
        <v>515</v>
      </c>
      <c r="AI6">
        <f>COUNTIF(all!S$3:S$1003,AH6)</f>
        <v>0</v>
      </c>
      <c r="AJ6" s="304"/>
      <c r="AK6" s="153">
        <f>SUMIF(all!S:S,processed!AH6,all!Q:Q)</f>
        <v>0</v>
      </c>
      <c r="AL6" s="300"/>
      <c r="AM6" s="224">
        <f>SUMIF(all!S:S,processed!AH6,all!L:L)</f>
        <v>0</v>
      </c>
      <c r="AN6" s="285"/>
      <c r="AO6" s="154">
        <f>SUMIF(all!S:S,processed!AH6,all!K:K)</f>
        <v>0</v>
      </c>
      <c r="AP6" s="287"/>
      <c r="AQ6" s="151"/>
      <c r="AR6" s="315"/>
      <c r="AS6" s="147"/>
      <c r="AT6" s="313"/>
    </row>
    <row r="7" spans="1:93" x14ac:dyDescent="0.25">
      <c r="B7" t="s">
        <v>15</v>
      </c>
      <c r="C7">
        <f>COUNTIF(all!D$3:D$1003,B7)</f>
        <v>18</v>
      </c>
      <c r="D7" t="s">
        <v>15</v>
      </c>
      <c r="E7">
        <f>COUNTIF(all!E$3:E$1003,D7)</f>
        <v>14</v>
      </c>
      <c r="F7" t="s">
        <v>15</v>
      </c>
      <c r="G7" s="94">
        <f t="shared" si="0"/>
        <v>32</v>
      </c>
      <c r="H7">
        <f t="shared" si="1"/>
        <v>18</v>
      </c>
      <c r="I7">
        <f t="shared" si="2"/>
        <v>14</v>
      </c>
      <c r="K7" s="96" t="s">
        <v>286</v>
      </c>
      <c r="L7" s="96">
        <f>COUNTIF(all!H$3:H$1003,K7)</f>
        <v>1</v>
      </c>
      <c r="M7" s="97">
        <f>SUMIF(all!H:H,processed!K7,all!Q:Q)</f>
        <v>7.9166666666666663E-2</v>
      </c>
      <c r="N7" s="222">
        <f>SUMIF(all!H:H,processed!K7,all!L:L)</f>
        <v>117</v>
      </c>
      <c r="O7" s="101">
        <f>SUMIF(all!H:H,processed!K7,all!K:K)</f>
        <v>47.5</v>
      </c>
      <c r="P7" s="149">
        <f t="shared" ref="P7:P25" si="5">O7/N7</f>
        <v>0.40598290598290598</v>
      </c>
      <c r="Q7" s="147">
        <f t="shared" ref="Q7:Q25" si="6">N7/(M7*24)</f>
        <v>61.578947368421055</v>
      </c>
      <c r="R7" s="147"/>
      <c r="S7" s="217" t="s">
        <v>818</v>
      </c>
      <c r="T7" s="220">
        <f>COUNTIF(detailed_route!F:AJ,processed!S7)</f>
        <v>2</v>
      </c>
      <c r="U7" s="221">
        <f>SUMIF(detailed_route_test!A:A,processed!S7,detailed_route_test!B:B)</f>
        <v>889</v>
      </c>
      <c r="X7" s="114" t="s">
        <v>131</v>
      </c>
      <c r="Y7">
        <f>COUNTIF(all!G$3:G$1003,X7)</f>
        <v>2</v>
      </c>
      <c r="Z7" s="93">
        <f>SUMIF(all!G:G,processed!X7,all!Q:Q)</f>
        <v>0.14027777777777772</v>
      </c>
      <c r="AA7" s="222">
        <f>SUMIF(all!G:G,processed!X7,all!L:L)</f>
        <v>232</v>
      </c>
      <c r="AB7" s="101">
        <f>SUMIF(all!G:G,processed!X7,all!K:K)</f>
        <v>70</v>
      </c>
      <c r="AC7" s="149">
        <f t="shared" si="3"/>
        <v>0.30172413793103448</v>
      </c>
      <c r="AD7" s="147">
        <f t="shared" si="4"/>
        <v>68.910891089108944</v>
      </c>
      <c r="AE7" s="121" t="s">
        <v>212</v>
      </c>
      <c r="AG7" s="291"/>
      <c r="AH7" s="89" t="s">
        <v>516</v>
      </c>
      <c r="AI7">
        <f>COUNTIF(all!S$3:S$1003,AH7)</f>
        <v>0</v>
      </c>
      <c r="AJ7" s="304"/>
      <c r="AK7" s="153">
        <f>SUMIF(all!S:S,processed!AH7,all!Q:Q)</f>
        <v>0</v>
      </c>
      <c r="AL7" s="300"/>
      <c r="AM7" s="224">
        <f>SUMIF(all!S:S,processed!AH7,all!L:L)</f>
        <v>0</v>
      </c>
      <c r="AN7" s="285"/>
      <c r="AO7" s="154">
        <f>SUMIF(all!S:S,processed!AH7,all!K:K)</f>
        <v>0</v>
      </c>
      <c r="AP7" s="287"/>
      <c r="AQ7" s="151"/>
      <c r="AR7" s="315"/>
      <c r="AS7" s="147"/>
      <c r="AT7" s="313"/>
    </row>
    <row r="8" spans="1:93" x14ac:dyDescent="0.25">
      <c r="B8" t="s">
        <v>23</v>
      </c>
      <c r="C8">
        <f>COUNTIF(all!D$3:D$1003,B8)</f>
        <v>1</v>
      </c>
      <c r="D8" t="s">
        <v>523</v>
      </c>
      <c r="E8">
        <f>COUNTIF(all!E$3:E$1003,D8)</f>
        <v>1</v>
      </c>
      <c r="F8" t="s">
        <v>23</v>
      </c>
      <c r="G8" s="94">
        <f t="shared" si="0"/>
        <v>1</v>
      </c>
      <c r="H8">
        <f t="shared" si="1"/>
        <v>1</v>
      </c>
      <c r="I8">
        <f t="shared" si="2"/>
        <v>0</v>
      </c>
      <c r="K8" t="s">
        <v>195</v>
      </c>
      <c r="L8" s="96">
        <f>COUNTIF(all!H$3:H$1003,K8)</f>
        <v>8</v>
      </c>
      <c r="M8" s="97">
        <f>SUMIF(all!H:H,processed!K8,all!Q:Q)</f>
        <v>0.25972222222222224</v>
      </c>
      <c r="N8" s="222">
        <f>SUMIF(all!H:H,processed!K8,all!L:L)</f>
        <v>713</v>
      </c>
      <c r="O8" s="101">
        <f>SUMIF(all!H:H,processed!K8,all!K:K)</f>
        <v>588</v>
      </c>
      <c r="P8" s="149">
        <f t="shared" si="5"/>
        <v>0.82468443197755958</v>
      </c>
      <c r="Q8" s="147">
        <f t="shared" si="6"/>
        <v>114.38502673796789</v>
      </c>
      <c r="R8" s="147"/>
      <c r="S8" s="217" t="s">
        <v>812</v>
      </c>
      <c r="T8" s="220">
        <f>COUNTIF(detailed_route!F:AJ,processed!S8)</f>
        <v>2</v>
      </c>
      <c r="U8" s="221">
        <f>SUMIF(detailed_route_test!A:A,processed!S8,detailed_route_test!B:B)</f>
        <v>843</v>
      </c>
      <c r="X8" s="115" t="s">
        <v>132</v>
      </c>
      <c r="Y8">
        <f>COUNTIF(all!G$3:G$1003,X8)</f>
        <v>2</v>
      </c>
      <c r="Z8" s="93">
        <f>SUMIF(all!G:G,processed!X8,all!Q:Q)</f>
        <v>0.2638888888888889</v>
      </c>
      <c r="AA8" s="222">
        <f>SUMIF(all!G:G,processed!X8,all!L:L)</f>
        <v>365</v>
      </c>
      <c r="AB8" s="101">
        <f>SUMIF(all!G:G,processed!X8,all!K:K)</f>
        <v>48</v>
      </c>
      <c r="AC8" s="149">
        <f t="shared" si="3"/>
        <v>0.13150684931506848</v>
      </c>
      <c r="AD8" s="147">
        <f t="shared" si="4"/>
        <v>57.631578947368418</v>
      </c>
      <c r="AE8" s="122" t="s">
        <v>52</v>
      </c>
      <c r="AG8" s="291"/>
      <c r="AH8" s="89" t="s">
        <v>658</v>
      </c>
      <c r="AI8">
        <f>COUNTIF(all!S$3:S$1003,AH8)</f>
        <v>1</v>
      </c>
      <c r="AJ8" s="304"/>
      <c r="AK8" s="185">
        <f>SUMIF(all!S:S,processed!AH8,all!Q:Q)</f>
        <v>3.6805555555555536E-2</v>
      </c>
      <c r="AL8" s="300"/>
      <c r="AM8" s="225">
        <f>SUMIF(all!S:S,processed!AH8,all!L:L)</f>
        <v>169</v>
      </c>
      <c r="AN8" s="285"/>
      <c r="AO8" s="186">
        <f>SUMIF(all!S:S,processed!AH8,all!K:K)</f>
        <v>71</v>
      </c>
      <c r="AP8" s="287"/>
      <c r="AQ8" s="280">
        <f t="shared" ref="AQ8" si="7">AO8/AM8</f>
        <v>0.42011834319526625</v>
      </c>
      <c r="AR8" s="315"/>
      <c r="AS8" s="279">
        <f t="shared" ref="AS8" si="8">AM8/(AK8*24)</f>
        <v>191.32075471698124</v>
      </c>
      <c r="AT8" s="313"/>
    </row>
    <row r="9" spans="1:93" x14ac:dyDescent="0.25">
      <c r="B9" t="s">
        <v>25</v>
      </c>
      <c r="C9">
        <f>COUNTIF(all!D$3:D$1003,B9)</f>
        <v>2</v>
      </c>
      <c r="D9" t="s">
        <v>25</v>
      </c>
      <c r="E9">
        <f>COUNTIF(all!E$3:E$1003,D9)</f>
        <v>1</v>
      </c>
      <c r="F9" t="s">
        <v>25</v>
      </c>
      <c r="G9" s="94">
        <f t="shared" si="0"/>
        <v>3</v>
      </c>
      <c r="H9">
        <f t="shared" si="1"/>
        <v>2</v>
      </c>
      <c r="I9">
        <f t="shared" si="2"/>
        <v>1</v>
      </c>
      <c r="K9" t="s">
        <v>579</v>
      </c>
      <c r="L9" s="96">
        <f>COUNTIF(all!H$3:H$1003,K9)</f>
        <v>3</v>
      </c>
      <c r="M9" s="97">
        <f>SUMIF(all!H:H,processed!K9,all!Q:Q)</f>
        <v>0.2631944444444444</v>
      </c>
      <c r="N9" s="222">
        <f>SUMIF(all!H:H,processed!K9,all!L:L)</f>
        <v>1322</v>
      </c>
      <c r="O9" s="101">
        <f>SUMIF(all!H:H,processed!K9,all!K:K)</f>
        <v>634</v>
      </c>
      <c r="P9" s="149">
        <f t="shared" si="5"/>
        <v>0.4795763993948563</v>
      </c>
      <c r="Q9" s="147">
        <f t="shared" si="6"/>
        <v>209.28759894459105</v>
      </c>
      <c r="R9" s="147"/>
      <c r="S9" s="217" t="s">
        <v>803</v>
      </c>
      <c r="T9" s="220">
        <f>COUNTIF(detailed_route!F:AJ,processed!S9)</f>
        <v>4</v>
      </c>
      <c r="U9" s="221">
        <f>SUMIF(detailed_route_test!A:A,processed!S9,detailed_route_test!B:B)</f>
        <v>607</v>
      </c>
      <c r="X9" s="187" t="s">
        <v>207</v>
      </c>
      <c r="Y9">
        <f>COUNTIF(all!G$3:G$1003,X9)</f>
        <v>0</v>
      </c>
      <c r="Z9" s="93">
        <f>SUMIF(all!G:G,processed!X9,all!Q:Q)</f>
        <v>0</v>
      </c>
      <c r="AA9" s="222">
        <f>SUMIF(all!G:G,processed!X9,all!L:L)</f>
        <v>0</v>
      </c>
      <c r="AB9" s="101">
        <f>SUMIF(all!G:G,processed!X9,all!K:K)</f>
        <v>0</v>
      </c>
      <c r="AC9" s="101"/>
      <c r="AD9" s="101"/>
      <c r="AE9" s="123" t="s">
        <v>213</v>
      </c>
      <c r="AG9" s="292" t="s">
        <v>164</v>
      </c>
      <c r="AH9" s="83" t="s">
        <v>517</v>
      </c>
      <c r="AI9" s="232">
        <f>COUNTIF(all!S$3:S$1003,AH9)</f>
        <v>0</v>
      </c>
      <c r="AJ9" s="305">
        <f>AI9+AI10+AI11+AI12</f>
        <v>5</v>
      </c>
      <c r="AK9" s="233">
        <f>SUMIF(all!S:S,processed!AH9,all!Q:Q)</f>
        <v>0</v>
      </c>
      <c r="AL9" s="301">
        <f>SUM(AK9:AK12)</f>
        <v>0.10486111111111118</v>
      </c>
      <c r="AM9" s="234">
        <f>SUMIF(all!S:S,processed!AH9,all!L:L)</f>
        <v>0</v>
      </c>
      <c r="AN9" s="284">
        <f>SUM(AM9:AM12)</f>
        <v>344</v>
      </c>
      <c r="AO9" s="235">
        <f>SUMIF(all!S:S,processed!AH9,all!K:K)</f>
        <v>0</v>
      </c>
      <c r="AP9" s="288">
        <f>SUM(AO9:AO12)</f>
        <v>185</v>
      </c>
      <c r="AQ9" s="236"/>
      <c r="AR9" s="316">
        <f>AP9/AN9</f>
        <v>0.53779069767441856</v>
      </c>
      <c r="AS9" s="237"/>
      <c r="AT9" s="319">
        <f>AN9/(AL9*24)</f>
        <v>136.6887417218542</v>
      </c>
    </row>
    <row r="10" spans="1:93" x14ac:dyDescent="0.25">
      <c r="B10" t="s">
        <v>35</v>
      </c>
      <c r="C10">
        <f>COUNTIF(all!D$3:D$1003,B10)</f>
        <v>1</v>
      </c>
      <c r="D10" t="s">
        <v>32</v>
      </c>
      <c r="E10">
        <f>COUNTIF(all!E$3:E$1003,D10)</f>
        <v>1</v>
      </c>
      <c r="F10" t="s">
        <v>35</v>
      </c>
      <c r="G10" s="94">
        <f t="shared" si="0"/>
        <v>2</v>
      </c>
      <c r="H10">
        <f t="shared" si="1"/>
        <v>1</v>
      </c>
      <c r="I10">
        <f t="shared" si="2"/>
        <v>1</v>
      </c>
      <c r="K10" t="s">
        <v>196</v>
      </c>
      <c r="L10" s="96">
        <f>COUNTIF(all!H$3:H$1003,K10)</f>
        <v>1</v>
      </c>
      <c r="M10" s="97">
        <f>SUMIF(all!H:H,processed!K10,all!Q:Q)</f>
        <v>1.1805555555555625E-2</v>
      </c>
      <c r="N10" s="222">
        <f>SUMIF(all!H:H,processed!K10,all!L:L)</f>
        <v>52</v>
      </c>
      <c r="O10" s="101">
        <f>SUMIF(all!H:H,processed!K10,all!K:K)</f>
        <v>39.5</v>
      </c>
      <c r="P10" s="149">
        <f t="shared" si="5"/>
        <v>0.75961538461538458</v>
      </c>
      <c r="Q10" s="147">
        <f t="shared" si="6"/>
        <v>183.5294117647048</v>
      </c>
      <c r="R10" s="147"/>
      <c r="S10" s="217" t="s">
        <v>826</v>
      </c>
      <c r="T10" s="220">
        <f>COUNTIF(detailed_route!F:AJ,processed!S10)</f>
        <v>3</v>
      </c>
      <c r="U10" s="221">
        <f>SUMIF(detailed_route_test!A:A,processed!S10,detailed_route_test!B:B)</f>
        <v>413</v>
      </c>
      <c r="X10" s="187" t="s">
        <v>208</v>
      </c>
      <c r="Y10">
        <f>COUNTIF(all!G$3:G$1003,X10)</f>
        <v>0</v>
      </c>
      <c r="Z10" s="93">
        <f>SUMIF(all!G:G,processed!X10,all!Q:Q)</f>
        <v>0</v>
      </c>
      <c r="AA10" s="222">
        <f>SUMIF(all!G:G,processed!X10,all!L:L)</f>
        <v>0</v>
      </c>
      <c r="AB10" s="101">
        <f>SUMIF(all!G:G,processed!X10,all!K:K)</f>
        <v>0</v>
      </c>
      <c r="AC10" s="101"/>
      <c r="AD10" s="101"/>
      <c r="AE10" s="123" t="s">
        <v>214</v>
      </c>
      <c r="AG10" s="293"/>
      <c r="AH10" s="227" t="s">
        <v>251</v>
      </c>
      <c r="AI10" s="228">
        <f>COUNTIF(all!S$3:S$1003,AH10)</f>
        <v>4</v>
      </c>
      <c r="AJ10" s="306"/>
      <c r="AK10" s="229">
        <f>SUMIF(all!S:S,processed!AH10,all!Q:Q)</f>
        <v>7.7777777777777835E-2</v>
      </c>
      <c r="AL10" s="302"/>
      <c r="AM10" s="223">
        <f>SUMIF(all!S:S,processed!AH10,all!L:L)</f>
        <v>270</v>
      </c>
      <c r="AN10" s="285"/>
      <c r="AO10" s="152">
        <f>SUMIF(all!S:S,processed!AH10,all!K:K)</f>
        <v>131</v>
      </c>
      <c r="AP10" s="287"/>
      <c r="AQ10" s="230">
        <f>AO10/AM10</f>
        <v>0.48518518518518516</v>
      </c>
      <c r="AR10" s="317"/>
      <c r="AS10" s="231">
        <f>AM10/(AK10*24)</f>
        <v>144.64285714285703</v>
      </c>
      <c r="AT10" s="320"/>
    </row>
    <row r="11" spans="1:93" x14ac:dyDescent="0.25">
      <c r="B11" t="s">
        <v>28</v>
      </c>
      <c r="C11">
        <f>COUNTIF(all!D$3:D$1003,B11)</f>
        <v>1</v>
      </c>
      <c r="D11" t="s">
        <v>35</v>
      </c>
      <c r="E11">
        <f>COUNTIF(all!E$3:E$1003,D11)</f>
        <v>1</v>
      </c>
      <c r="F11" t="s">
        <v>28</v>
      </c>
      <c r="G11" s="94">
        <f t="shared" si="0"/>
        <v>2</v>
      </c>
      <c r="H11">
        <f t="shared" si="1"/>
        <v>1</v>
      </c>
      <c r="I11">
        <f t="shared" si="2"/>
        <v>1</v>
      </c>
      <c r="K11" t="s">
        <v>622</v>
      </c>
      <c r="L11" s="96">
        <f>COUNTIF(all!H$3:H$1003,K11)</f>
        <v>1</v>
      </c>
      <c r="M11" s="97">
        <f>SUMIF(all!H:H,processed!K11,all!Q:Q)</f>
        <v>1.8750000000000044E-2</v>
      </c>
      <c r="N11" s="222">
        <f>SUMIF(all!H:H,processed!K11,all!L:L)</f>
        <v>56</v>
      </c>
      <c r="O11" s="101">
        <f>SUMIF(all!H:H,processed!K11,all!K:K)</f>
        <v>75</v>
      </c>
      <c r="P11" s="149">
        <f t="shared" si="5"/>
        <v>1.3392857142857142</v>
      </c>
      <c r="Q11" s="147">
        <f t="shared" si="6"/>
        <v>124.44444444444414</v>
      </c>
      <c r="R11" s="147"/>
      <c r="S11" s="217" t="s">
        <v>863</v>
      </c>
      <c r="T11" s="220">
        <f>COUNTIF(detailed_route!F:AJ,processed!S11)</f>
        <v>20</v>
      </c>
      <c r="U11" s="221">
        <f>SUMIF(detailed_route_test!A:A,processed!S11,detailed_route_test!B:B)</f>
        <v>380</v>
      </c>
      <c r="X11" s="187" t="s">
        <v>216</v>
      </c>
      <c r="Y11">
        <f>COUNTIF(all!G$3:G$1003,X11)</f>
        <v>0</v>
      </c>
      <c r="Z11" s="93">
        <f>SUMIF(all!G:G,processed!X11,all!Q:Q)</f>
        <v>0</v>
      </c>
      <c r="AA11" s="222">
        <f>SUMIF(all!G:G,processed!X11,all!L:L)</f>
        <v>0</v>
      </c>
      <c r="AB11" s="101">
        <f>SUMIF(all!G:G,processed!X11,all!K:K)</f>
        <v>0</v>
      </c>
      <c r="AC11" s="101"/>
      <c r="AD11" s="101"/>
      <c r="AE11" s="123" t="s">
        <v>215</v>
      </c>
      <c r="AG11" s="293"/>
      <c r="AH11" s="227" t="s">
        <v>265</v>
      </c>
      <c r="AI11" s="228">
        <f>COUNTIF(all!S$3:S$1003,AH11)</f>
        <v>1</v>
      </c>
      <c r="AJ11" s="306"/>
      <c r="AK11" s="229">
        <f>SUMIF(all!S:S,processed!AH11,all!Q:Q)</f>
        <v>2.7083333333333348E-2</v>
      </c>
      <c r="AL11" s="302"/>
      <c r="AM11" s="223">
        <f>SUMIF(all!S:S,processed!AH11,all!L:L)</f>
        <v>74</v>
      </c>
      <c r="AN11" s="285"/>
      <c r="AO11" s="152">
        <f>SUMIF(all!S:S,processed!AH11,all!K:K)</f>
        <v>54</v>
      </c>
      <c r="AP11" s="287"/>
      <c r="AQ11" s="230">
        <f>AO11/AM11</f>
        <v>0.72972972972972971</v>
      </c>
      <c r="AR11" s="317"/>
      <c r="AS11" s="231">
        <f>AM11/(AK11*24)</f>
        <v>113.84615384615378</v>
      </c>
      <c r="AT11" s="320"/>
    </row>
    <row r="12" spans="1:93" x14ac:dyDescent="0.25">
      <c r="B12" t="s">
        <v>39</v>
      </c>
      <c r="C12">
        <f>COUNTIF(all!D$3:D$1003,B12)</f>
        <v>3</v>
      </c>
      <c r="D12" t="s">
        <v>37</v>
      </c>
      <c r="E12">
        <f>COUNTIF(all!E$3:E$1003,D12)</f>
        <v>1</v>
      </c>
      <c r="F12" t="s">
        <v>39</v>
      </c>
      <c r="G12" s="94">
        <f t="shared" si="0"/>
        <v>4</v>
      </c>
      <c r="H12">
        <f t="shared" si="1"/>
        <v>3</v>
      </c>
      <c r="I12">
        <f t="shared" si="2"/>
        <v>1</v>
      </c>
      <c r="K12" t="s">
        <v>603</v>
      </c>
      <c r="L12" s="96">
        <f>COUNTIF(all!H$3:H$1003,K12)</f>
        <v>1</v>
      </c>
      <c r="M12" s="97">
        <f>SUMIF(all!H:H,processed!K12,all!Q:Q)</f>
        <v>1.2500000000000011E-2</v>
      </c>
      <c r="N12" s="222">
        <f>SUMIF(all!H:H,processed!K12,all!L:L)</f>
        <v>50</v>
      </c>
      <c r="O12" s="101">
        <f>SUMIF(all!H:H,processed!K12,all!K:K)</f>
        <v>34.5</v>
      </c>
      <c r="P12" s="149">
        <f t="shared" si="5"/>
        <v>0.69</v>
      </c>
      <c r="Q12" s="147">
        <f t="shared" si="6"/>
        <v>166.66666666666652</v>
      </c>
      <c r="R12" s="147"/>
      <c r="S12" s="217" t="s">
        <v>814</v>
      </c>
      <c r="T12" s="220">
        <f>COUNTIF(detailed_route!F:AJ,processed!S12)</f>
        <v>2</v>
      </c>
      <c r="U12" s="221">
        <f>SUMIF(detailed_route_test!A:A,processed!S12,detailed_route_test!B:B)</f>
        <v>335</v>
      </c>
      <c r="X12" s="187" t="s">
        <v>244</v>
      </c>
      <c r="Y12">
        <v>0</v>
      </c>
      <c r="Z12" s="93">
        <f>SUMIF(all!G:G,processed!X12,all!Q:Q)</f>
        <v>0</v>
      </c>
      <c r="AA12" s="222">
        <f>SUMIF(all!G:G,processed!X12,all!L:L)</f>
        <v>0</v>
      </c>
      <c r="AB12" s="101">
        <f>SUMIF(all!G:G,processed!X12,all!K:K)</f>
        <v>0</v>
      </c>
      <c r="AC12" s="101"/>
      <c r="AD12" s="101"/>
      <c r="AE12" s="123" t="s">
        <v>243</v>
      </c>
      <c r="AG12" s="294"/>
      <c r="AH12" s="84" t="s">
        <v>518</v>
      </c>
      <c r="AI12" s="238">
        <f>COUNTIF(all!S$3:S$1003,AH12)</f>
        <v>0</v>
      </c>
      <c r="AJ12" s="307"/>
      <c r="AK12" s="239">
        <f>SUMIF(all!S:S,processed!AH12,all!Q:Q)</f>
        <v>0</v>
      </c>
      <c r="AL12" s="303"/>
      <c r="AM12" s="240">
        <f>SUMIF(all!S:S,processed!AH12,all!L:L)</f>
        <v>0</v>
      </c>
      <c r="AN12" s="286"/>
      <c r="AO12" s="241">
        <f>SUMIF(all!S:S,processed!AH12,all!K:K)</f>
        <v>0</v>
      </c>
      <c r="AP12" s="289"/>
      <c r="AQ12" s="242"/>
      <c r="AR12" s="318"/>
      <c r="AS12" s="243"/>
      <c r="AT12" s="321"/>
    </row>
    <row r="13" spans="1:93" x14ac:dyDescent="0.25">
      <c r="B13" t="s">
        <v>47</v>
      </c>
      <c r="C13">
        <f>COUNTIF(all!D$3:D$1003,B13)</f>
        <v>1</v>
      </c>
      <c r="D13" t="s">
        <v>28</v>
      </c>
      <c r="E13">
        <f>COUNTIF(all!E$3:E$1003,D13)</f>
        <v>1</v>
      </c>
      <c r="F13" t="s">
        <v>47</v>
      </c>
      <c r="G13" s="94">
        <f t="shared" si="0"/>
        <v>1</v>
      </c>
      <c r="H13">
        <f t="shared" si="1"/>
        <v>1</v>
      </c>
      <c r="I13">
        <f t="shared" si="2"/>
        <v>0</v>
      </c>
      <c r="K13" t="s">
        <v>193</v>
      </c>
      <c r="L13" s="96">
        <f>COUNTIF(all!H$3:H$1003,K13)</f>
        <v>7</v>
      </c>
      <c r="M13" s="97">
        <f>SUMIF(all!H:H,processed!K13,all!Q:Q)</f>
        <v>0.27291666666666664</v>
      </c>
      <c r="N13" s="222">
        <f>SUMIF(all!H:H,processed!K13,all!L:L)</f>
        <v>706</v>
      </c>
      <c r="O13" s="101">
        <f>SUMIF(all!H:H,processed!K13,all!K:K)</f>
        <v>456.5</v>
      </c>
      <c r="P13" s="149">
        <f t="shared" si="5"/>
        <v>0.64660056657223797</v>
      </c>
      <c r="Q13" s="147">
        <f t="shared" si="6"/>
        <v>107.78625954198475</v>
      </c>
      <c r="R13" s="147"/>
      <c r="S13" s="217" t="s">
        <v>825</v>
      </c>
      <c r="T13" s="220">
        <f>COUNTIF(detailed_route!F:AJ,processed!S13)</f>
        <v>2</v>
      </c>
      <c r="U13" s="221">
        <f>SUMIF(detailed_route_test!A:A,processed!S13,detailed_route_test!B:B)</f>
        <v>299</v>
      </c>
      <c r="X13" s="187" t="s">
        <v>447</v>
      </c>
      <c r="Y13">
        <v>0</v>
      </c>
      <c r="Z13" s="93">
        <f>SUMIF(all!G:G,processed!X13,all!Q:Q)</f>
        <v>0</v>
      </c>
      <c r="AA13" s="222">
        <f>SUMIF(all!G:G,processed!X13,all!L:L)</f>
        <v>0</v>
      </c>
      <c r="AB13" s="101">
        <f>SUMIF(all!G:G,processed!X13,all!K:K)</f>
        <v>0</v>
      </c>
      <c r="AC13" s="101"/>
      <c r="AD13" s="101"/>
      <c r="AE13" s="123" t="s">
        <v>448</v>
      </c>
      <c r="AG13" s="295" t="s">
        <v>166</v>
      </c>
      <c r="AH13" s="13" t="s">
        <v>262</v>
      </c>
      <c r="AI13">
        <f>COUNTIF(all!S$3:S$1003,AH13)</f>
        <v>3</v>
      </c>
      <c r="AJ13" s="308">
        <f>AI13+AI14+AI15</f>
        <v>6</v>
      </c>
      <c r="AK13" s="93">
        <f>SUMIF(all!S:S,processed!AH13,all!Q:Q)</f>
        <v>0.60902777777777761</v>
      </c>
      <c r="AL13" s="300">
        <f>SUM(AK13:AK15)</f>
        <v>0.93402777777777768</v>
      </c>
      <c r="AM13" s="223">
        <f>SUMIF(all!S:S,processed!AH13,all!L:L)</f>
        <v>1110</v>
      </c>
      <c r="AN13" s="285">
        <f>SUM(AM13:AM15)</f>
        <v>1760</v>
      </c>
      <c r="AO13" s="152">
        <f>SUMIF(all!S:S,processed!AH13,all!K:K)</f>
        <v>318.5</v>
      </c>
      <c r="AP13" s="287">
        <f>SUM(AO13:AO15)</f>
        <v>466.5</v>
      </c>
      <c r="AQ13" s="151">
        <f>AO13/AM13</f>
        <v>0.28693693693693695</v>
      </c>
      <c r="AR13" s="315">
        <f>AP13/AN13</f>
        <v>0.2650568181818182</v>
      </c>
      <c r="AS13" s="147">
        <f>AM13/(AK13*24)</f>
        <v>75.940706955530231</v>
      </c>
      <c r="AT13" s="313">
        <f>AN13/(AL13*24)</f>
        <v>78.513011152416368</v>
      </c>
    </row>
    <row r="14" spans="1:93" x14ac:dyDescent="0.25">
      <c r="B14" t="s">
        <v>49</v>
      </c>
      <c r="C14">
        <f>COUNTIF(all!D$3:D$1003,B14)</f>
        <v>1</v>
      </c>
      <c r="D14" t="s">
        <v>39</v>
      </c>
      <c r="E14">
        <f>COUNTIF(all!E$3:E$1003,D14)</f>
        <v>1</v>
      </c>
      <c r="F14" t="s">
        <v>49</v>
      </c>
      <c r="G14" s="94">
        <f t="shared" si="0"/>
        <v>2</v>
      </c>
      <c r="H14">
        <f t="shared" si="1"/>
        <v>1</v>
      </c>
      <c r="I14">
        <f t="shared" si="2"/>
        <v>1</v>
      </c>
      <c r="K14" t="s">
        <v>187</v>
      </c>
      <c r="L14" s="96">
        <f>COUNTIF(all!H$3:H$1003,K14)</f>
        <v>13</v>
      </c>
      <c r="M14" s="97">
        <f>SUMIF(all!H:H,processed!K14,all!Q:Q)</f>
        <v>0.6284722222222221</v>
      </c>
      <c r="N14" s="222">
        <f>SUMIF(all!H:H,processed!K14,all!L:L)</f>
        <v>1895</v>
      </c>
      <c r="O14" s="101">
        <f>SUMIF(all!H:H,processed!K14,all!K:K)</f>
        <v>805</v>
      </c>
      <c r="P14" s="149">
        <f t="shared" si="5"/>
        <v>0.42480211081794195</v>
      </c>
      <c r="Q14" s="147">
        <f t="shared" si="6"/>
        <v>125.63535911602213</v>
      </c>
      <c r="R14" s="147"/>
      <c r="S14" s="217" t="s">
        <v>819</v>
      </c>
      <c r="T14" s="220">
        <f>COUNTIF(detailed_route!F:AJ,processed!S14)</f>
        <v>1</v>
      </c>
      <c r="U14" s="221">
        <f>SUMIF(detailed_route_test!A:A,processed!S14,detailed_route_test!B:B)</f>
        <v>251</v>
      </c>
      <c r="AA14" s="222"/>
      <c r="AB14" s="101"/>
      <c r="AC14" s="101"/>
      <c r="AD14" s="101"/>
      <c r="AG14" s="295"/>
      <c r="AH14" s="13" t="s">
        <v>263</v>
      </c>
      <c r="AI14">
        <f>COUNTIF(all!S$3:S$1003,AH14)</f>
        <v>1</v>
      </c>
      <c r="AJ14" s="308"/>
      <c r="AK14" s="93">
        <f>SUMIF(all!S:S,processed!AH14,all!Q:Q)</f>
        <v>6.1111111111111116E-2</v>
      </c>
      <c r="AL14" s="300"/>
      <c r="AM14" s="223">
        <f>SUMIF(all!S:S,processed!AH14,all!L:L)</f>
        <v>285</v>
      </c>
      <c r="AN14" s="285"/>
      <c r="AO14" s="152">
        <f>SUMIF(all!S:S,processed!AH14,all!K:K)</f>
        <v>100</v>
      </c>
      <c r="AP14" s="287"/>
      <c r="AQ14" s="151">
        <f>AO14/AM14</f>
        <v>0.35087719298245612</v>
      </c>
      <c r="AR14" s="315"/>
      <c r="AS14" s="147">
        <f>AM14/(AK14*24)</f>
        <v>194.31818181818181</v>
      </c>
      <c r="AT14" s="313"/>
    </row>
    <row r="15" spans="1:93" ht="14.4" thickBot="1" x14ac:dyDescent="0.3">
      <c r="B15" t="s">
        <v>42</v>
      </c>
      <c r="C15">
        <f>COUNTIF(all!D$3:D$1003,B15)</f>
        <v>1</v>
      </c>
      <c r="D15" t="s">
        <v>42</v>
      </c>
      <c r="E15">
        <f>COUNTIF(all!E$3:E$1003,D15)</f>
        <v>2</v>
      </c>
      <c r="F15" t="s">
        <v>42</v>
      </c>
      <c r="G15" s="94">
        <f t="shared" si="0"/>
        <v>3</v>
      </c>
      <c r="H15">
        <f t="shared" si="1"/>
        <v>1</v>
      </c>
      <c r="I15">
        <f t="shared" si="2"/>
        <v>2</v>
      </c>
      <c r="K15" t="s">
        <v>190</v>
      </c>
      <c r="L15" s="96">
        <f>COUNTIF(all!H$3:H$1003,K15)</f>
        <v>1</v>
      </c>
      <c r="M15" s="97">
        <f>SUMIF(all!H:H,processed!K15,all!Q:Q)</f>
        <v>7.6388888888889173E-3</v>
      </c>
      <c r="N15" s="222">
        <f>SUMIF(all!H:H,processed!K15,all!L:L)</f>
        <v>25</v>
      </c>
      <c r="O15" s="101">
        <f>SUMIF(all!H:H,processed!K15,all!K:K)</f>
        <v>9</v>
      </c>
      <c r="P15" s="149">
        <f t="shared" si="5"/>
        <v>0.36</v>
      </c>
      <c r="Q15" s="147">
        <f t="shared" si="6"/>
        <v>136.36363636363586</v>
      </c>
      <c r="R15" s="147"/>
      <c r="S15" s="217" t="s">
        <v>815</v>
      </c>
      <c r="T15" s="220">
        <f>COUNTIF(detailed_route!F:AJ,processed!S15)</f>
        <v>4</v>
      </c>
      <c r="U15" s="221">
        <f>SUMIF(detailed_route_test!A:A,processed!S15,detailed_route_test!B:B)</f>
        <v>210</v>
      </c>
      <c r="AA15" s="222"/>
      <c r="AB15" s="101"/>
      <c r="AC15" s="101"/>
      <c r="AD15" s="101"/>
      <c r="AG15" s="295"/>
      <c r="AH15" s="13" t="s">
        <v>264</v>
      </c>
      <c r="AI15">
        <f>COUNTIF(all!S$3:S$1003,AH15)</f>
        <v>2</v>
      </c>
      <c r="AJ15" s="308"/>
      <c r="AK15" s="93">
        <f>SUMIF(all!S:S,processed!AH15,all!Q:Q)</f>
        <v>0.2638888888888889</v>
      </c>
      <c r="AL15" s="300"/>
      <c r="AM15" s="223">
        <f>SUMIF(all!S:S,processed!AH15,all!L:L)</f>
        <v>365</v>
      </c>
      <c r="AN15" s="285"/>
      <c r="AO15" s="152">
        <f>SUMIF(all!S:S,processed!AH15,all!K:K)</f>
        <v>48</v>
      </c>
      <c r="AP15" s="287"/>
      <c r="AQ15" s="151">
        <f>AO15/AM15</f>
        <v>0.13150684931506848</v>
      </c>
      <c r="AR15" s="315"/>
      <c r="AS15" s="147">
        <f>AM15/(AK15*24)</f>
        <v>57.631578947368418</v>
      </c>
      <c r="AT15" s="313"/>
    </row>
    <row r="16" spans="1:93" x14ac:dyDescent="0.25">
      <c r="B16" t="s">
        <v>60</v>
      </c>
      <c r="C16">
        <f>COUNTIF(all!D$3:D$1003,B16)</f>
        <v>1</v>
      </c>
      <c r="D16" t="s">
        <v>49</v>
      </c>
      <c r="E16">
        <f>COUNTIF(all!E$3:E$1003,D16)</f>
        <v>1</v>
      </c>
      <c r="F16" t="s">
        <v>60</v>
      </c>
      <c r="G16" s="94">
        <f t="shared" si="0"/>
        <v>2</v>
      </c>
      <c r="H16">
        <f t="shared" si="1"/>
        <v>1</v>
      </c>
      <c r="I16">
        <f t="shared" si="2"/>
        <v>1</v>
      </c>
      <c r="K16" t="s">
        <v>199</v>
      </c>
      <c r="L16" s="96">
        <f>COUNTIF(all!H$3:H$1003,K16)</f>
        <v>1</v>
      </c>
      <c r="M16" s="97">
        <f>SUMIF(all!H:H,processed!K16,all!Q:Q)</f>
        <v>2.7083333333333348E-2</v>
      </c>
      <c r="N16" s="222">
        <f>SUMIF(all!H:H,processed!K16,all!L:L)</f>
        <v>74</v>
      </c>
      <c r="O16" s="101">
        <f>SUMIF(all!H:H,processed!K16,all!K:K)</f>
        <v>54</v>
      </c>
      <c r="P16" s="149">
        <f t="shared" si="5"/>
        <v>0.72972972972972971</v>
      </c>
      <c r="Q16" s="147">
        <f t="shared" si="6"/>
        <v>113.84615384615378</v>
      </c>
      <c r="R16" s="147"/>
      <c r="S16" s="217" t="s">
        <v>807</v>
      </c>
      <c r="T16" s="220">
        <f>COUNTIF(detailed_route!F:AJ,processed!S16)</f>
        <v>1</v>
      </c>
      <c r="U16" s="221">
        <f>SUMIF(detailed_route_test!A:A,processed!S16,detailed_route_test!B:B)</f>
        <v>204</v>
      </c>
      <c r="V16" s="101"/>
      <c r="W16" s="101"/>
      <c r="X16" s="264" t="s">
        <v>185</v>
      </c>
      <c r="Y16" s="265"/>
      <c r="Z16" s="266"/>
      <c r="AA16" s="267" t="s">
        <v>163</v>
      </c>
      <c r="AB16" s="268" t="s">
        <v>558</v>
      </c>
      <c r="AC16" s="269" t="s">
        <v>168</v>
      </c>
      <c r="AD16" s="269" t="s">
        <v>606</v>
      </c>
      <c r="AG16" s="296" t="s">
        <v>257</v>
      </c>
      <c r="AH16" s="244" t="s">
        <v>519</v>
      </c>
      <c r="AI16" s="232">
        <f>COUNTIF(all!S$3:S$1003,AH16)</f>
        <v>0</v>
      </c>
      <c r="AJ16" s="309">
        <f>AI16+AI17+AI18</f>
        <v>3</v>
      </c>
      <c r="AK16" s="233">
        <f>SUMIF(all!S:S,processed!AH16,all!Q:Q)</f>
        <v>0</v>
      </c>
      <c r="AL16" s="301">
        <f>SUM(AK16:AK18)</f>
        <v>0.2368055555555556</v>
      </c>
      <c r="AM16" s="234">
        <f>SUMIF(all!S:S,processed!AH16,all!L:L)</f>
        <v>0</v>
      </c>
      <c r="AN16" s="284">
        <f>SUM(AM16:AM18)</f>
        <v>576</v>
      </c>
      <c r="AO16" s="235">
        <f>SUMIF(all!S:S,processed!AH16,all!K:K)</f>
        <v>0</v>
      </c>
      <c r="AP16" s="288">
        <f>SUM(AO16:AO18)</f>
        <v>238.5</v>
      </c>
      <c r="AQ16" s="236"/>
      <c r="AR16" s="316">
        <f>AP16/AN16</f>
        <v>0.4140625</v>
      </c>
      <c r="AS16" s="237"/>
      <c r="AT16" s="319">
        <f>AN16/(AL16*24)</f>
        <v>101.3489736070381</v>
      </c>
    </row>
    <row r="17" spans="2:48" x14ac:dyDescent="0.25">
      <c r="B17" t="s">
        <v>63</v>
      </c>
      <c r="C17">
        <f>COUNTIF(all!D$3:D$1003,B17)</f>
        <v>1</v>
      </c>
      <c r="D17" t="s">
        <v>57</v>
      </c>
      <c r="E17">
        <f>COUNTIF(all!E$3:E$1003,D17)</f>
        <v>2</v>
      </c>
      <c r="F17" t="s">
        <v>63</v>
      </c>
      <c r="G17" s="94">
        <f t="shared" si="0"/>
        <v>2</v>
      </c>
      <c r="H17">
        <f t="shared" si="1"/>
        <v>1</v>
      </c>
      <c r="I17">
        <f t="shared" si="2"/>
        <v>1</v>
      </c>
      <c r="K17" t="s">
        <v>188</v>
      </c>
      <c r="L17" s="96">
        <f>COUNTIF(all!H$3:H$1003,K17)</f>
        <v>5</v>
      </c>
      <c r="M17" s="97">
        <f>SUMIF(all!H:H,processed!K17,all!Q:Q)</f>
        <v>0.22638888888888897</v>
      </c>
      <c r="N17" s="222">
        <f>SUMIF(all!H:H,processed!K17,all!L:L)</f>
        <v>624</v>
      </c>
      <c r="O17" s="101">
        <f>SUMIF(all!H:H,processed!K17,all!K:K)</f>
        <v>357</v>
      </c>
      <c r="P17" s="149">
        <f t="shared" si="5"/>
        <v>0.57211538461538458</v>
      </c>
      <c r="Q17" s="147">
        <f t="shared" si="6"/>
        <v>114.84662576687113</v>
      </c>
      <c r="R17" s="147"/>
      <c r="S17" s="217" t="s">
        <v>853</v>
      </c>
      <c r="T17" s="220">
        <f>COUNTIF(detailed_route!F:AJ,processed!S17)</f>
        <v>1</v>
      </c>
      <c r="U17" s="221">
        <f>SUMIF(detailed_route_test!A:A,processed!S17,detailed_route_test!B:B)</f>
        <v>194</v>
      </c>
      <c r="V17" s="101"/>
      <c r="W17" s="101"/>
      <c r="X17" s="103" t="s">
        <v>205</v>
      </c>
      <c r="Y17">
        <f>COUNTIF(all!I$3:I$1003,X17)</f>
        <v>0</v>
      </c>
      <c r="Z17" s="93">
        <f>SUMIF(all!I:I,processed!X17,all!Q:Q)</f>
        <v>0</v>
      </c>
      <c r="AA17" s="222">
        <f>SUMIF(all!I:I,processed!X17,all!L:L)</f>
        <v>0</v>
      </c>
      <c r="AB17" s="101">
        <f>SUMIF(all!I:I,processed!X17,all!K:K)</f>
        <v>0</v>
      </c>
      <c r="AC17" s="149"/>
      <c r="AD17" s="101"/>
      <c r="AG17" s="297"/>
      <c r="AH17" s="145" t="s">
        <v>258</v>
      </c>
      <c r="AI17" s="228">
        <f>COUNTIF(all!S$3:S$1003,AH17)</f>
        <v>2</v>
      </c>
      <c r="AJ17" s="310"/>
      <c r="AK17" s="229">
        <f>SUMIF(all!S:S,processed!AH17,all!Q:Q)</f>
        <v>0.17500000000000004</v>
      </c>
      <c r="AL17" s="302"/>
      <c r="AM17" s="223">
        <f>SUMIF(all!S:S,processed!AH17,all!L:L)</f>
        <v>361</v>
      </c>
      <c r="AN17" s="285"/>
      <c r="AO17" s="152">
        <f>SUMIF(all!S:S,processed!AH17,all!K:K)</f>
        <v>145.5</v>
      </c>
      <c r="AP17" s="287"/>
      <c r="AQ17" s="230">
        <f t="shared" ref="AQ17:AQ24" si="9">AO17/AM17</f>
        <v>0.40304709141274236</v>
      </c>
      <c r="AR17" s="317"/>
      <c r="AS17" s="231">
        <f t="shared" ref="AS17:AS24" si="10">AM17/(AK17*24)</f>
        <v>85.952380952380935</v>
      </c>
      <c r="AT17" s="320"/>
    </row>
    <row r="18" spans="2:48" x14ac:dyDescent="0.25">
      <c r="B18" t="s">
        <v>69</v>
      </c>
      <c r="C18">
        <f>COUNTIF(all!D$3:D$1003,B18)</f>
        <v>1</v>
      </c>
      <c r="D18" t="s">
        <v>60</v>
      </c>
      <c r="E18">
        <f>COUNTIF(all!E$3:E$1003,D18)</f>
        <v>1</v>
      </c>
      <c r="F18" t="s">
        <v>69</v>
      </c>
      <c r="G18" s="94">
        <f t="shared" si="0"/>
        <v>1</v>
      </c>
      <c r="H18">
        <f t="shared" si="1"/>
        <v>1</v>
      </c>
      <c r="I18">
        <f t="shared" si="2"/>
        <v>0</v>
      </c>
      <c r="K18" t="s">
        <v>189</v>
      </c>
      <c r="L18" s="96">
        <f>COUNTIF(all!H$3:H$1003,K18)</f>
        <v>2</v>
      </c>
      <c r="M18" s="97">
        <f>SUMIF(all!H:H,processed!K18,all!Q:Q)</f>
        <v>5.208333333333337E-2</v>
      </c>
      <c r="N18" s="222">
        <f>SUMIF(all!H:H,processed!K18,all!L:L)</f>
        <v>203</v>
      </c>
      <c r="O18" s="101">
        <f>SUMIF(all!H:H,processed!K18,all!K:K)</f>
        <v>101</v>
      </c>
      <c r="P18" s="149">
        <f t="shared" si="5"/>
        <v>0.49753694581280788</v>
      </c>
      <c r="Q18" s="147">
        <f t="shared" si="6"/>
        <v>162.39999999999989</v>
      </c>
      <c r="R18" s="147"/>
      <c r="S18" s="217" t="s">
        <v>813</v>
      </c>
      <c r="T18" s="220">
        <f>COUNTIF(detailed_route!F:AJ,processed!S18)</f>
        <v>1</v>
      </c>
      <c r="U18" s="221">
        <f>SUMIF(detailed_route_test!A:A,processed!S18,detailed_route_test!B:B)</f>
        <v>179</v>
      </c>
      <c r="V18" s="101"/>
      <c r="W18" s="101"/>
      <c r="X18" s="180" t="s">
        <v>200</v>
      </c>
      <c r="Y18">
        <f>COUNTIF(all!I$3:I$1003,X18)</f>
        <v>1</v>
      </c>
      <c r="Z18" s="93">
        <f>SUMIF(all!I:I,processed!X18,all!Q:Q)</f>
        <v>9.7222222222222987E-3</v>
      </c>
      <c r="AA18" s="222">
        <f>SUMIF(all!I:I,processed!X18,all!L:L)</f>
        <v>32</v>
      </c>
      <c r="AB18" s="101">
        <f>SUMIF(all!I:I,processed!X18,all!K:K)</f>
        <v>13</v>
      </c>
      <c r="AC18" s="149">
        <f>AB18/AA18</f>
        <v>0.40625</v>
      </c>
      <c r="AD18" s="147">
        <f>AA18/(Z18*24)</f>
        <v>137.14285714285606</v>
      </c>
      <c r="AG18" s="298"/>
      <c r="AH18" s="82" t="s">
        <v>520</v>
      </c>
      <c r="AI18" s="238">
        <f>COUNTIF(all!S$3:S$1003,AH18)</f>
        <v>1</v>
      </c>
      <c r="AJ18" s="311"/>
      <c r="AK18" s="245">
        <f>SUMIF(all!S:S,processed!AH18,all!Q:Q)</f>
        <v>6.1805555555555558E-2</v>
      </c>
      <c r="AL18" s="303"/>
      <c r="AM18" s="246">
        <f>SUMIF(all!S:S,processed!AH18,all!L:L)</f>
        <v>215</v>
      </c>
      <c r="AN18" s="286"/>
      <c r="AO18" s="247">
        <f>SUMIF(all!S:S,processed!AH18,all!K:K)</f>
        <v>93</v>
      </c>
      <c r="AP18" s="289"/>
      <c r="AQ18" s="242">
        <f t="shared" si="9"/>
        <v>0.4325581395348837</v>
      </c>
      <c r="AR18" s="318"/>
      <c r="AS18" s="243">
        <f t="shared" si="10"/>
        <v>144.9438202247191</v>
      </c>
      <c r="AT18" s="321"/>
    </row>
    <row r="19" spans="2:48" x14ac:dyDescent="0.25">
      <c r="B19" t="s">
        <v>71</v>
      </c>
      <c r="C19">
        <f>COUNTIF(all!D$3:D$1003,B19)</f>
        <v>1</v>
      </c>
      <c r="D19" t="s">
        <v>63</v>
      </c>
      <c r="E19">
        <f>COUNTIF(all!E$3:E$1003,D19)</f>
        <v>1</v>
      </c>
      <c r="F19" t="s">
        <v>71</v>
      </c>
      <c r="G19" s="94">
        <f t="shared" si="0"/>
        <v>2</v>
      </c>
      <c r="H19">
        <f t="shared" si="1"/>
        <v>1</v>
      </c>
      <c r="I19">
        <f t="shared" si="2"/>
        <v>1</v>
      </c>
      <c r="K19" t="s">
        <v>223</v>
      </c>
      <c r="L19" s="96">
        <f>COUNTIF(all!H$3:H$1003,K19)</f>
        <v>1</v>
      </c>
      <c r="M19" s="97">
        <f>SUMIF(all!H:H,processed!K19,all!Q:Q)</f>
        <v>1.8055555555555547E-2</v>
      </c>
      <c r="N19" s="222">
        <f>SUMIF(all!H:H,processed!K19,all!L:L)</f>
        <v>42</v>
      </c>
      <c r="O19" s="101">
        <f>SUMIF(all!H:H,processed!K19,all!K:K)</f>
        <v>21</v>
      </c>
      <c r="P19" s="149">
        <f t="shared" si="5"/>
        <v>0.5</v>
      </c>
      <c r="Q19" s="147">
        <f t="shared" si="6"/>
        <v>96.923076923076962</v>
      </c>
      <c r="R19" s="147"/>
      <c r="S19" s="217" t="s">
        <v>795</v>
      </c>
      <c r="T19" s="220">
        <f>COUNTIF(detailed_route!F:AJ,processed!S19)</f>
        <v>1</v>
      </c>
      <c r="U19" s="221">
        <f>SUMIF(detailed_route_test!A:A,processed!S19,detailed_route_test!B:B)</f>
        <v>175</v>
      </c>
      <c r="V19" s="101"/>
      <c r="W19" s="101"/>
      <c r="X19" s="104" t="s">
        <v>115</v>
      </c>
      <c r="Y19">
        <f>COUNTIF(all!I$3:I$1003,X19)</f>
        <v>57</v>
      </c>
      <c r="Z19" s="93">
        <f>SUMIF(all!I:I,processed!X19,all!Q:Q)</f>
        <v>2.5625000000000004</v>
      </c>
      <c r="AA19" s="222">
        <f>SUMIF(all!I:I,processed!X19,all!L:L)</f>
        <v>9096</v>
      </c>
      <c r="AB19" s="101">
        <f>SUMIF(all!I:I,processed!X19,all!K:K)</f>
        <v>4709</v>
      </c>
      <c r="AC19" s="149">
        <f>AB19/AA19</f>
        <v>0.51770008795074762</v>
      </c>
      <c r="AD19" s="147">
        <f>AA19/(Z19*24)</f>
        <v>147.90243902439022</v>
      </c>
      <c r="AG19" s="299" t="s">
        <v>245</v>
      </c>
      <c r="AH19" s="91" t="s">
        <v>259</v>
      </c>
      <c r="AI19">
        <f>COUNTIF(all!S$3:S$1003,AH19)</f>
        <v>3</v>
      </c>
      <c r="AJ19" s="312">
        <f xml:space="preserve"> AI19+AI20</f>
        <v>5</v>
      </c>
      <c r="AK19" s="93">
        <f>SUMIF(all!S:S,processed!AH19,all!Q:Q)</f>
        <v>0.10208333333333341</v>
      </c>
      <c r="AL19" s="300">
        <f>AK19+AK20</f>
        <v>0.28680555555555554</v>
      </c>
      <c r="AM19" s="223">
        <f>SUMIF(all!S:S,processed!AH19,all!L:L)</f>
        <v>222</v>
      </c>
      <c r="AN19" s="285">
        <f>SUM(AM19:AM20)</f>
        <v>872</v>
      </c>
      <c r="AO19" s="152">
        <f>SUMIF(all!S:S,processed!AH19,all!K:K)</f>
        <v>158</v>
      </c>
      <c r="AP19" s="287">
        <f>SUM(AO19:AO20)</f>
        <v>335</v>
      </c>
      <c r="AQ19" s="151">
        <f t="shared" si="9"/>
        <v>0.71171171171171166</v>
      </c>
      <c r="AR19" s="315">
        <f>AP19/AN19</f>
        <v>0.38417431192660551</v>
      </c>
      <c r="AS19" s="147">
        <f t="shared" si="10"/>
        <v>90.612244897959116</v>
      </c>
      <c r="AT19" s="313">
        <f>AN19/(AL19*24)</f>
        <v>126.68280871670703</v>
      </c>
    </row>
    <row r="20" spans="2:48" x14ac:dyDescent="0.25">
      <c r="B20" t="s">
        <v>74</v>
      </c>
      <c r="C20">
        <f>COUNTIF(all!D$3:D$1003,B20)</f>
        <v>1</v>
      </c>
      <c r="D20" t="s">
        <v>66</v>
      </c>
      <c r="E20">
        <f>COUNTIF(all!E$3:E$1003,D20)</f>
        <v>4</v>
      </c>
      <c r="F20" t="s">
        <v>74</v>
      </c>
      <c r="G20" s="94">
        <f t="shared" si="0"/>
        <v>2</v>
      </c>
      <c r="H20">
        <f t="shared" si="1"/>
        <v>1</v>
      </c>
      <c r="I20">
        <f t="shared" si="2"/>
        <v>1</v>
      </c>
      <c r="K20" t="s">
        <v>279</v>
      </c>
      <c r="L20" s="96">
        <f>COUNTIF(all!H$3:H$1003,K20)</f>
        <v>3</v>
      </c>
      <c r="M20" s="97">
        <f>SUMIF(all!H:H,processed!K20,all!Q:Q)</f>
        <v>8.0555555555555491E-2</v>
      </c>
      <c r="N20" s="222">
        <f>SUMIF(all!H:H,processed!K20,all!L:L)</f>
        <v>337</v>
      </c>
      <c r="O20" s="101">
        <f>SUMIF(all!H:H,processed!K20,all!K:K)</f>
        <v>218.5</v>
      </c>
      <c r="P20" s="149">
        <f t="shared" si="5"/>
        <v>0.64836795252225521</v>
      </c>
      <c r="Q20" s="147">
        <f t="shared" si="6"/>
        <v>174.31034482758633</v>
      </c>
      <c r="R20" s="147"/>
      <c r="S20" s="217" t="s">
        <v>858</v>
      </c>
      <c r="T20" s="220">
        <f>COUNTIF(detailed_route!F:AJ,processed!S20)</f>
        <v>1</v>
      </c>
      <c r="U20" s="221">
        <f>SUMIF(detailed_route_test!A:A,processed!S20,detailed_route_test!B:B)</f>
        <v>175</v>
      </c>
      <c r="V20" s="101"/>
      <c r="W20" s="101"/>
      <c r="X20" s="103" t="s">
        <v>201</v>
      </c>
      <c r="Y20">
        <f>COUNTIF(all!I$3:I$1003,X20)</f>
        <v>0</v>
      </c>
      <c r="Z20" s="93">
        <f>SUMIF(all!I:I,processed!X20,all!Q:Q)</f>
        <v>0</v>
      </c>
      <c r="AA20" s="222">
        <f>SUMIF(all!I:I,processed!X20,all!L:L)</f>
        <v>0</v>
      </c>
      <c r="AB20" s="101">
        <f>SUMIF(all!I:I,processed!X20,all!K:K)</f>
        <v>0</v>
      </c>
      <c r="AC20" s="149"/>
      <c r="AD20" s="147"/>
      <c r="AG20" s="299"/>
      <c r="AH20" s="91" t="s">
        <v>246</v>
      </c>
      <c r="AI20">
        <f>COUNTIF(all!S$3:S$1003,AH20)</f>
        <v>2</v>
      </c>
      <c r="AJ20" s="312"/>
      <c r="AK20" s="93">
        <f>SUMIF(all!S:S,processed!AH20,all!Q:Q)</f>
        <v>0.18472222222222212</v>
      </c>
      <c r="AL20" s="300"/>
      <c r="AM20" s="223">
        <f>SUMIF(all!S:S,processed!AH20,all!L:L)</f>
        <v>650</v>
      </c>
      <c r="AN20" s="285"/>
      <c r="AO20" s="152">
        <f>SUMIF(all!S:S,processed!AH20,all!K:K)</f>
        <v>177</v>
      </c>
      <c r="AP20" s="287"/>
      <c r="AQ20" s="151">
        <f t="shared" si="9"/>
        <v>0.27230769230769231</v>
      </c>
      <c r="AR20" s="315"/>
      <c r="AS20" s="147">
        <f t="shared" si="10"/>
        <v>146.61654135338352</v>
      </c>
      <c r="AT20" s="313"/>
    </row>
    <row r="21" spans="2:48" x14ac:dyDescent="0.25">
      <c r="B21" t="s">
        <v>77</v>
      </c>
      <c r="C21">
        <f>COUNTIF(all!D$3:D$1003,B21)</f>
        <v>1</v>
      </c>
      <c r="D21" t="s">
        <v>71</v>
      </c>
      <c r="E21">
        <f>COUNTIF(all!E$3:E$1003,D21)</f>
        <v>1</v>
      </c>
      <c r="F21" t="s">
        <v>77</v>
      </c>
      <c r="G21" s="94">
        <f t="shared" si="0"/>
        <v>2</v>
      </c>
      <c r="H21">
        <f t="shared" si="1"/>
        <v>1</v>
      </c>
      <c r="I21">
        <f t="shared" si="2"/>
        <v>1</v>
      </c>
      <c r="K21" t="s">
        <v>191</v>
      </c>
      <c r="L21" s="96">
        <f>COUNTIF(all!H$3:H$1003,K21)</f>
        <v>3</v>
      </c>
      <c r="M21" s="97">
        <f>SUMIF(all!H:H,processed!K21,all!Q:Q)</f>
        <v>0.24583333333333335</v>
      </c>
      <c r="N21" s="222">
        <f>SUMIF(all!H:H,processed!K21,all!L:L)</f>
        <v>1134</v>
      </c>
      <c r="O21" s="101">
        <f>SUMIF(all!H:H,processed!K21,all!K:K)</f>
        <v>608</v>
      </c>
      <c r="P21" s="149">
        <f t="shared" si="5"/>
        <v>0.53615520282186946</v>
      </c>
      <c r="Q21" s="147">
        <f t="shared" si="6"/>
        <v>192.20338983050846</v>
      </c>
      <c r="R21" s="147"/>
      <c r="S21" s="217" t="s">
        <v>862</v>
      </c>
      <c r="T21" s="220">
        <f>COUNTIF(detailed_route!F:AJ,processed!S21)</f>
        <v>1</v>
      </c>
      <c r="U21" s="221">
        <f>SUMIF(detailed_route_test!A:A,processed!S21,detailed_route_test!B:B)</f>
        <v>169</v>
      </c>
      <c r="V21" s="101"/>
      <c r="W21" s="101"/>
      <c r="X21" s="105" t="s">
        <v>118</v>
      </c>
      <c r="Y21">
        <f>COUNTIF(all!I$3:I$1003,X21)</f>
        <v>8</v>
      </c>
      <c r="Z21" s="93">
        <f>SUMIF(all!I:I,processed!X21,all!Q:Q)</f>
        <v>0.89097222222222205</v>
      </c>
      <c r="AA21" s="222">
        <f>SUMIF(all!I:I,processed!X21,all!L:L)</f>
        <v>1528</v>
      </c>
      <c r="AB21" s="101">
        <f>SUMIF(all!I:I,processed!X21,all!K:K)</f>
        <v>233</v>
      </c>
      <c r="AC21" s="149">
        <f>AB21/AA21</f>
        <v>0.15248691099476439</v>
      </c>
      <c r="AD21" s="147">
        <f>AA21/(Z21*24)</f>
        <v>71.457521434138755</v>
      </c>
      <c r="AG21" s="248" t="s">
        <v>297</v>
      </c>
      <c r="AH21" s="34" t="s">
        <v>298</v>
      </c>
      <c r="AI21" s="249">
        <f>COUNTIF(all!S$3:S$1003,AH21)</f>
        <v>3</v>
      </c>
      <c r="AJ21" s="34">
        <f>AI21</f>
        <v>3</v>
      </c>
      <c r="AK21" s="250">
        <f>SUMIF(all!S:S,processed!AH21,all!Q:Q)</f>
        <v>0.2138888888888888</v>
      </c>
      <c r="AL21" s="251">
        <f>AK21</f>
        <v>0.2138888888888888</v>
      </c>
      <c r="AM21" s="252">
        <f>SUMIF(all!S:S,processed!AH21,all!L:L)</f>
        <v>1044</v>
      </c>
      <c r="AN21" s="253">
        <f>AM21</f>
        <v>1044</v>
      </c>
      <c r="AO21" s="254">
        <f>SUMIF(all!S:S,processed!AH21,all!K:K)</f>
        <v>532.5</v>
      </c>
      <c r="AP21" s="255">
        <f>AO21</f>
        <v>532.5</v>
      </c>
      <c r="AQ21" s="256">
        <f t="shared" si="9"/>
        <v>0.51005747126436785</v>
      </c>
      <c r="AR21" s="257">
        <f t="shared" ref="AR21:AR26" si="11">AP21/AN21</f>
        <v>0.51005747126436785</v>
      </c>
      <c r="AS21" s="258">
        <f t="shared" si="10"/>
        <v>203.37662337662346</v>
      </c>
      <c r="AT21" s="259">
        <f t="shared" ref="AT21:AT26" si="12">AN21/(AL21*24)</f>
        <v>203.37662337662346</v>
      </c>
    </row>
    <row r="22" spans="2:48" x14ac:dyDescent="0.25">
      <c r="B22" t="s">
        <v>83</v>
      </c>
      <c r="C22">
        <f>COUNTIF(all!D$3:D$1003,B22)</f>
        <v>1</v>
      </c>
      <c r="D22" t="s">
        <v>74</v>
      </c>
      <c r="E22">
        <f>COUNTIF(all!E$3:E$1003,D22)</f>
        <v>1</v>
      </c>
      <c r="F22" t="s">
        <v>83</v>
      </c>
      <c r="G22" s="94">
        <f t="shared" si="0"/>
        <v>1</v>
      </c>
      <c r="H22">
        <f t="shared" si="1"/>
        <v>1</v>
      </c>
      <c r="I22">
        <f t="shared" si="2"/>
        <v>0</v>
      </c>
      <c r="K22" t="s">
        <v>192</v>
      </c>
      <c r="L22" s="96">
        <f>COUNTIF(all!H$3:H$1003,K22)</f>
        <v>1</v>
      </c>
      <c r="M22" s="97">
        <f>SUMIF(all!H:H,processed!K22,all!Q:Q)</f>
        <v>0.15347222222222223</v>
      </c>
      <c r="N22" s="222">
        <f>SUMIF(all!H:H,processed!K22,all!L:L)</f>
        <v>809</v>
      </c>
      <c r="O22" s="101">
        <f>SUMIF(all!H:H,processed!K22,all!K:K)</f>
        <v>388.5</v>
      </c>
      <c r="P22" s="149">
        <f t="shared" si="5"/>
        <v>0.48022249690976515</v>
      </c>
      <c r="Q22" s="147">
        <f t="shared" si="6"/>
        <v>219.63800904977373</v>
      </c>
      <c r="R22" s="147"/>
      <c r="S22" s="217" t="s">
        <v>801</v>
      </c>
      <c r="T22" s="220">
        <f>COUNTIF(detailed_route!F:AJ,processed!S22)</f>
        <v>2</v>
      </c>
      <c r="U22" s="221">
        <f>SUMIF(detailed_route_test!A:A,processed!S22,detailed_route_test!B:B)</f>
        <v>147</v>
      </c>
      <c r="X22" s="106" t="s">
        <v>202</v>
      </c>
      <c r="Y22">
        <f>COUNTIF(all!I$3:I$1003,X22)</f>
        <v>1</v>
      </c>
      <c r="Z22" s="93">
        <f>SUMIF(all!I:I,processed!X22,all!Q:Q)</f>
        <v>7.9166666666666663E-2</v>
      </c>
      <c r="AA22" s="222">
        <f>SUMIF(all!I:I,processed!X22,all!L:L)</f>
        <v>117</v>
      </c>
      <c r="AB22" s="101">
        <f>SUMIF(all!I:I,processed!X22,all!K:K)</f>
        <v>47.5</v>
      </c>
      <c r="AC22" s="149">
        <f>AB22/AA22</f>
        <v>0.40598290598290598</v>
      </c>
      <c r="AD22" s="147">
        <f>AA22/(Z22*24)</f>
        <v>61.578947368421055</v>
      </c>
      <c r="AG22" s="124" t="s">
        <v>248</v>
      </c>
      <c r="AH22" s="92" t="s">
        <v>249</v>
      </c>
      <c r="AI22">
        <f>COUNTIF(all!S$3:S$1003,AH22)</f>
        <v>2</v>
      </c>
      <c r="AJ22" s="92">
        <f t="shared" ref="AJ22:AJ23" si="13">AI22</f>
        <v>2</v>
      </c>
      <c r="AK22" s="93">
        <f>SUMIF(all!S:S,processed!AH22,all!Q:Q)</f>
        <v>0.10624999999999996</v>
      </c>
      <c r="AL22" s="155">
        <f t="shared" ref="AL22:AL24" si="14">AK22</f>
        <v>0.10624999999999996</v>
      </c>
      <c r="AM22" s="223">
        <f>SUMIF(all!S:S,processed!AH22,all!L:L)</f>
        <v>211</v>
      </c>
      <c r="AN22" s="226">
        <f t="shared" ref="AN22:AN24" si="15">AM22</f>
        <v>211</v>
      </c>
      <c r="AO22" s="152">
        <f>SUMIF(all!S:S,processed!AH22,all!K:K)</f>
        <v>75.5</v>
      </c>
      <c r="AP22" s="156">
        <f t="shared" ref="AP22:AP24" si="16">AO22</f>
        <v>75.5</v>
      </c>
      <c r="AQ22" s="151">
        <f t="shared" si="9"/>
        <v>0.35781990521327012</v>
      </c>
      <c r="AR22" s="157">
        <f t="shared" si="11"/>
        <v>0.35781990521327012</v>
      </c>
      <c r="AS22" s="147">
        <f t="shared" si="10"/>
        <v>82.745098039215719</v>
      </c>
      <c r="AT22" s="158">
        <f t="shared" si="12"/>
        <v>82.745098039215719</v>
      </c>
    </row>
    <row r="23" spans="2:48" x14ac:dyDescent="0.25">
      <c r="B23" t="s">
        <v>87</v>
      </c>
      <c r="C23">
        <f>COUNTIF(all!D$3:D$1003,B23)</f>
        <v>1</v>
      </c>
      <c r="D23" t="s">
        <v>77</v>
      </c>
      <c r="E23">
        <f>COUNTIF(all!E$3:E$1003,D23)</f>
        <v>1</v>
      </c>
      <c r="F23" t="s">
        <v>87</v>
      </c>
      <c r="G23" s="94">
        <f t="shared" si="0"/>
        <v>1</v>
      </c>
      <c r="H23">
        <f t="shared" si="1"/>
        <v>1</v>
      </c>
      <c r="I23">
        <f t="shared" si="2"/>
        <v>0</v>
      </c>
      <c r="K23" t="s">
        <v>587</v>
      </c>
      <c r="L23" s="96">
        <f>COUNTIF(all!H$3:H$1003,K23)</f>
        <v>1</v>
      </c>
      <c r="M23" s="97">
        <f>SUMIF(all!H:H,processed!K23,all!Q:Q)</f>
        <v>6.1805555555555558E-2</v>
      </c>
      <c r="N23" s="222">
        <f>SUMIF(all!H:H,processed!K23,all!L:L)</f>
        <v>215</v>
      </c>
      <c r="O23" s="101">
        <f>SUMIF(all!H:H,processed!K23,all!K:K)</f>
        <v>93</v>
      </c>
      <c r="P23" s="149">
        <f t="shared" si="5"/>
        <v>0.4325581395348837</v>
      </c>
      <c r="Q23" s="147">
        <f t="shared" si="6"/>
        <v>144.9438202247191</v>
      </c>
      <c r="R23" s="147"/>
      <c r="S23" s="217" t="s">
        <v>808</v>
      </c>
      <c r="T23" s="220">
        <f>COUNTIF(detailed_route!F:AJ,processed!S23)</f>
        <v>2</v>
      </c>
      <c r="U23" s="221">
        <f>SUMIF(detailed_route_test!A:A,processed!S23,detailed_route_test!B:B)</f>
        <v>136</v>
      </c>
      <c r="X23" s="107" t="s">
        <v>116</v>
      </c>
      <c r="Y23">
        <f>COUNTIF(all!I$3:I$1003,X23)</f>
        <v>1</v>
      </c>
      <c r="Z23" s="93">
        <f>SUMIF(all!I:I,processed!X23,all!Q:Q)</f>
        <v>0.14375000000000004</v>
      </c>
      <c r="AA23" s="222">
        <f>SUMIF(all!I:I,processed!X23,all!L:L)</f>
        <v>246</v>
      </c>
      <c r="AB23" s="101">
        <f>SUMIF(all!I:I,processed!X23,all!K:K)</f>
        <v>91.5</v>
      </c>
      <c r="AC23" s="149">
        <f>AB23/AA23</f>
        <v>0.37195121951219512</v>
      </c>
      <c r="AD23" s="147">
        <f>AA23/(Z23*24)</f>
        <v>71.304347826086939</v>
      </c>
      <c r="AG23" s="260" t="s">
        <v>167</v>
      </c>
      <c r="AH23" s="261" t="s">
        <v>521</v>
      </c>
      <c r="AI23" s="249">
        <f>COUNTIF(all!S$3:S$1003,AH23)</f>
        <v>1</v>
      </c>
      <c r="AJ23" s="261">
        <f t="shared" si="13"/>
        <v>1</v>
      </c>
      <c r="AK23" s="250">
        <f>SUMIF(all!S:S,processed!AH23,all!Q:Q)</f>
        <v>9.7222222222222224E-2</v>
      </c>
      <c r="AL23" s="251">
        <f t="shared" si="14"/>
        <v>9.7222222222222224E-2</v>
      </c>
      <c r="AM23" s="252">
        <f>SUMIF(all!S:S,processed!AH23,all!L:L)</f>
        <v>328</v>
      </c>
      <c r="AN23" s="253">
        <f t="shared" si="15"/>
        <v>328</v>
      </c>
      <c r="AO23" s="254">
        <f>SUMIF(all!S:S,processed!AH23,all!K:K)</f>
        <v>145</v>
      </c>
      <c r="AP23" s="255">
        <f t="shared" si="16"/>
        <v>145</v>
      </c>
      <c r="AQ23" s="256">
        <f t="shared" si="9"/>
        <v>0.44207317073170732</v>
      </c>
      <c r="AR23" s="257">
        <f t="shared" si="11"/>
        <v>0.44207317073170732</v>
      </c>
      <c r="AS23" s="258">
        <f t="shared" si="10"/>
        <v>140.57142857142856</v>
      </c>
      <c r="AT23" s="259">
        <f t="shared" si="12"/>
        <v>140.57142857142856</v>
      </c>
    </row>
    <row r="24" spans="2:48" x14ac:dyDescent="0.25">
      <c r="B24" t="s">
        <v>266</v>
      </c>
      <c r="C24">
        <f>COUNTIF(all!D$3:D$1003,B24)</f>
        <v>1</v>
      </c>
      <c r="D24" t="s">
        <v>80</v>
      </c>
      <c r="E24">
        <f>COUNTIF(all!E$3:E$1003,D24)</f>
        <v>1</v>
      </c>
      <c r="F24" t="s">
        <v>266</v>
      </c>
      <c r="G24" s="94">
        <f t="shared" si="0"/>
        <v>1</v>
      </c>
      <c r="H24">
        <f t="shared" si="1"/>
        <v>1</v>
      </c>
      <c r="I24">
        <f t="shared" si="2"/>
        <v>0</v>
      </c>
      <c r="K24" t="s">
        <v>595</v>
      </c>
      <c r="L24" s="96">
        <f>COUNTIF(all!H$3:H$1003,K24)</f>
        <v>1</v>
      </c>
      <c r="M24" s="97">
        <f>SUMIF(all!H:H,processed!K24,all!Q:Q)</f>
        <v>3.125E-2</v>
      </c>
      <c r="N24" s="222">
        <f>SUMIF(all!H:H,processed!K24,all!L:L)</f>
        <v>115</v>
      </c>
      <c r="O24" s="101">
        <f>SUMIF(all!H:H,processed!K24,all!K:K)</f>
        <v>54</v>
      </c>
      <c r="P24" s="149">
        <f t="shared" si="5"/>
        <v>0.46956521739130436</v>
      </c>
      <c r="Q24" s="147">
        <f t="shared" si="6"/>
        <v>153.33333333333334</v>
      </c>
      <c r="R24" s="147"/>
      <c r="S24" s="217" t="s">
        <v>833</v>
      </c>
      <c r="T24" s="220">
        <f>COUNTIF(detailed_route!F:AJ,processed!S24)</f>
        <v>1</v>
      </c>
      <c r="U24" s="221">
        <f>SUMIF(detailed_route_test!A:A,processed!S24,detailed_route_test!B:B)</f>
        <v>121</v>
      </c>
      <c r="X24" s="108" t="s">
        <v>82</v>
      </c>
      <c r="Y24">
        <f>COUNTIF(all!I$3:I$1003,X24)</f>
        <v>1</v>
      </c>
      <c r="Z24" s="93">
        <f>SUMIF(all!I:I,processed!X24,all!Q:Q)</f>
        <v>0.31944444444444442</v>
      </c>
      <c r="AA24" s="222">
        <f>SUMIF(all!I:I,processed!X24,all!L:L)</f>
        <v>475</v>
      </c>
      <c r="AB24" s="101">
        <f>SUMIF(all!I:I,processed!X24,all!K:K)</f>
        <v>186</v>
      </c>
      <c r="AC24" s="149">
        <f>AB24/AA24</f>
        <v>0.39157894736842103</v>
      </c>
      <c r="AD24" s="147">
        <f>AA24/(Z24*24)</f>
        <v>61.956521739130437</v>
      </c>
      <c r="AG24" s="125" t="s">
        <v>542</v>
      </c>
      <c r="AH24" s="98" t="s">
        <v>543</v>
      </c>
      <c r="AI24">
        <f>COUNTIF(all!S$3:S$1003,AH24)</f>
        <v>2</v>
      </c>
      <c r="AJ24" s="99">
        <f>AI24</f>
        <v>2</v>
      </c>
      <c r="AK24" s="93">
        <f>SUMIF(all!S:S,processed!AH24,all!Q:Q)</f>
        <v>8.4722222222222199E-2</v>
      </c>
      <c r="AL24" s="155">
        <f t="shared" si="14"/>
        <v>8.4722222222222199E-2</v>
      </c>
      <c r="AM24" s="223">
        <f>SUMIF(all!S:S,processed!AH24,all!L:L)</f>
        <v>136</v>
      </c>
      <c r="AN24" s="226">
        <f t="shared" si="15"/>
        <v>136</v>
      </c>
      <c r="AO24" s="152">
        <f>SUMIF(all!S:S,processed!AH24,all!K:K)</f>
        <v>25</v>
      </c>
      <c r="AP24" s="156">
        <f t="shared" si="16"/>
        <v>25</v>
      </c>
      <c r="AQ24" s="151">
        <f t="shared" si="9"/>
        <v>0.18382352941176472</v>
      </c>
      <c r="AR24" s="157">
        <f t="shared" si="11"/>
        <v>0.18382352941176472</v>
      </c>
      <c r="AS24" s="147">
        <f t="shared" si="10"/>
        <v>66.885245901639365</v>
      </c>
      <c r="AT24" s="158">
        <f t="shared" si="12"/>
        <v>66.885245901639365</v>
      </c>
    </row>
    <row r="25" spans="2:48" x14ac:dyDescent="0.25">
      <c r="B25" t="s">
        <v>66</v>
      </c>
      <c r="C25">
        <f>COUNTIF(all!D$3:D$1003,B25)</f>
        <v>3</v>
      </c>
      <c r="D25" t="s">
        <v>85</v>
      </c>
      <c r="E25">
        <f>COUNTIF(all!E$3:E$1003,D25)</f>
        <v>1</v>
      </c>
      <c r="F25" t="s">
        <v>66</v>
      </c>
      <c r="G25" s="94">
        <f t="shared" si="0"/>
        <v>7</v>
      </c>
      <c r="H25">
        <f t="shared" si="1"/>
        <v>3</v>
      </c>
      <c r="I25">
        <f t="shared" si="2"/>
        <v>4</v>
      </c>
      <c r="K25" t="s">
        <v>198</v>
      </c>
      <c r="L25" s="96">
        <f>COUNTIF(all!H$3:H$1003,K25)</f>
        <v>2</v>
      </c>
      <c r="M25" s="97">
        <f>SUMIF(all!H:H,processed!K25,all!Q:Q)</f>
        <v>0.11249999999999993</v>
      </c>
      <c r="N25" s="222">
        <f>SUMIF(all!H:H,processed!K25,all!L:L)</f>
        <v>489</v>
      </c>
      <c r="O25" s="101">
        <f>SUMIF(all!H:H,processed!K25,all!K:K)</f>
        <v>168</v>
      </c>
      <c r="P25" s="149">
        <f t="shared" si="5"/>
        <v>0.34355828220858897</v>
      </c>
      <c r="Q25" s="147">
        <f t="shared" si="6"/>
        <v>181.11111111111123</v>
      </c>
      <c r="R25" s="147"/>
      <c r="S25" s="217" t="s">
        <v>823</v>
      </c>
      <c r="T25" s="220">
        <f>COUNTIF(detailed_route!F:AJ,processed!S25)</f>
        <v>1</v>
      </c>
      <c r="U25" s="221">
        <f>SUMIF(detailed_route_test!A:A,processed!S25,detailed_route_test!B:B)</f>
        <v>99</v>
      </c>
      <c r="X25" s="103" t="s">
        <v>217</v>
      </c>
      <c r="Y25">
        <f>COUNTIF(all!I$3:I$1003,X25)</f>
        <v>0</v>
      </c>
      <c r="Z25" s="93">
        <f>SUMIF(all!I:I,processed!X25,all!Q:Q)</f>
        <v>0</v>
      </c>
      <c r="AA25" s="222">
        <f>SUMIF(all!I:I,processed!X25,all!L:L)</f>
        <v>0</v>
      </c>
      <c r="AB25" s="101">
        <f>SUMIF(all!I:I,processed!X25,all!K:K)</f>
        <v>0</v>
      </c>
      <c r="AC25" s="149"/>
      <c r="AD25" s="147"/>
      <c r="AG25" s="262" t="s">
        <v>613</v>
      </c>
      <c r="AH25" s="163" t="s">
        <v>637</v>
      </c>
      <c r="AI25" s="249">
        <f>COUNTIF(all!S$3:S$1003,AH25)</f>
        <v>1</v>
      </c>
      <c r="AJ25" s="263">
        <f>AI25</f>
        <v>1</v>
      </c>
      <c r="AK25" s="250">
        <f>SUMIF(all!S:S,processed!AH25,all!Q:Q)</f>
        <v>0.16388888888888897</v>
      </c>
      <c r="AL25" s="251">
        <f t="shared" ref="AL25" si="17">AK25</f>
        <v>0.16388888888888897</v>
      </c>
      <c r="AM25" s="252">
        <f>SUMIF(all!S:S,processed!AH25,all!L:L)</f>
        <v>344</v>
      </c>
      <c r="AN25" s="253">
        <f t="shared" ref="AN25" si="18">AM25</f>
        <v>344</v>
      </c>
      <c r="AO25" s="254">
        <f>SUMIF(all!S:S,processed!AH25,all!K:K)</f>
        <v>51.5</v>
      </c>
      <c r="AP25" s="255">
        <f t="shared" ref="AP25" si="19">AO25</f>
        <v>51.5</v>
      </c>
      <c r="AQ25" s="256">
        <f t="shared" ref="AQ25" si="20">AO25/AM25</f>
        <v>0.14970930232558138</v>
      </c>
      <c r="AR25" s="257">
        <f t="shared" si="11"/>
        <v>0.14970930232558138</v>
      </c>
      <c r="AS25" s="258">
        <f t="shared" ref="AS25" si="21">AM25/(AK25*24)</f>
        <v>87.457627118644027</v>
      </c>
      <c r="AT25" s="259">
        <f t="shared" si="12"/>
        <v>87.457627118644027</v>
      </c>
    </row>
    <row r="26" spans="2:48" x14ac:dyDescent="0.25">
      <c r="B26" t="s">
        <v>283</v>
      </c>
      <c r="C26">
        <f>COUNTIF(all!D$3:D$1003,B26)</f>
        <v>1</v>
      </c>
      <c r="D26" t="s">
        <v>89</v>
      </c>
      <c r="E26">
        <f>COUNTIF(all!E$3:E$1003,D26)</f>
        <v>1</v>
      </c>
      <c r="F26" t="s">
        <v>283</v>
      </c>
      <c r="G26" s="94">
        <f t="shared" si="0"/>
        <v>2</v>
      </c>
      <c r="H26">
        <f t="shared" si="1"/>
        <v>1</v>
      </c>
      <c r="I26">
        <f t="shared" si="2"/>
        <v>1</v>
      </c>
      <c r="K26" t="s">
        <v>315</v>
      </c>
      <c r="L26" s="96">
        <f>COUNTIF(all!H$3:H$1003,K26)</f>
        <v>2</v>
      </c>
      <c r="M26" s="97">
        <f>SUMIF(all!H:H,processed!K26,all!Q:Q)</f>
        <v>0.11805555555555564</v>
      </c>
      <c r="N26" s="222">
        <f>SUMIF(all!H:H,processed!K26,all!L:L)</f>
        <v>410</v>
      </c>
      <c r="O26" s="101">
        <f>SUMIF(all!H:H,processed!K26,all!K:K)</f>
        <v>123</v>
      </c>
      <c r="P26" s="149">
        <f t="shared" ref="P26" si="22">O26/N26</f>
        <v>0.3</v>
      </c>
      <c r="Q26" s="147">
        <f t="shared" ref="Q26" si="23">N26/(M26*24)</f>
        <v>144.70588235294107</v>
      </c>
      <c r="R26" s="147"/>
      <c r="S26" s="217" t="s">
        <v>800</v>
      </c>
      <c r="T26" s="220">
        <f>COUNTIF(detailed_route!F:AJ,processed!S26)</f>
        <v>3</v>
      </c>
      <c r="U26" s="221">
        <f>SUMIF(detailed_route_test!A:A,processed!S26,detailed_route_test!B:B)</f>
        <v>81</v>
      </c>
      <c r="X26" s="103" t="s">
        <v>203</v>
      </c>
      <c r="Y26">
        <f>COUNTIF(all!I$3:I$1003,X26)</f>
        <v>0</v>
      </c>
      <c r="Z26" s="93">
        <f>SUMIF(all!I:I,processed!X26,all!Q:Q)</f>
        <v>0</v>
      </c>
      <c r="AA26" s="222">
        <f>SUMIF(all!I:I,processed!X26,all!L:L)</f>
        <v>0</v>
      </c>
      <c r="AB26" s="101">
        <f>SUMIF(all!I:I,processed!X26,all!K:K)</f>
        <v>0</v>
      </c>
      <c r="AC26" s="149"/>
      <c r="AD26" s="147"/>
      <c r="AG26" s="179" t="s">
        <v>666</v>
      </c>
      <c r="AH26" s="177" t="s">
        <v>667</v>
      </c>
      <c r="AI26">
        <f>COUNTIF(all!S$3:S$1003,AH26)</f>
        <v>2</v>
      </c>
      <c r="AJ26" s="178">
        <f>AI26</f>
        <v>2</v>
      </c>
      <c r="AK26" s="93">
        <f>SUMIF(all!S:S,processed!AH26,all!Q:Q)</f>
        <v>0.11805555555555564</v>
      </c>
      <c r="AL26" s="174">
        <f t="shared" ref="AL26" si="24">AK26</f>
        <v>0.11805555555555564</v>
      </c>
      <c r="AM26" s="223">
        <f>SUMIF(all!S:S,processed!AH26,all!L:L)</f>
        <v>410</v>
      </c>
      <c r="AN26" s="226">
        <f t="shared" ref="AN26" si="25">AM26</f>
        <v>410</v>
      </c>
      <c r="AO26" s="152">
        <f>SUMIF(all!S:S,processed!AH26,all!K:K)</f>
        <v>123</v>
      </c>
      <c r="AP26" s="175">
        <f t="shared" ref="AP26" si="26">AO26</f>
        <v>123</v>
      </c>
      <c r="AQ26" s="151">
        <f t="shared" ref="AQ26" si="27">AO26/AM26</f>
        <v>0.3</v>
      </c>
      <c r="AR26" s="173">
        <f t="shared" si="11"/>
        <v>0.3</v>
      </c>
      <c r="AS26" s="147">
        <f t="shared" ref="AS26" si="28">AM26/(AK26*24)</f>
        <v>144.70588235294107</v>
      </c>
      <c r="AT26" s="158">
        <f t="shared" si="12"/>
        <v>144.70588235294107</v>
      </c>
    </row>
    <row r="27" spans="2:48" x14ac:dyDescent="0.25">
      <c r="B27" t="s">
        <v>57</v>
      </c>
      <c r="C27">
        <f>COUNTIF(all!D$3:D$1003,B27)</f>
        <v>1</v>
      </c>
      <c r="D27" t="s">
        <v>283</v>
      </c>
      <c r="E27">
        <f>COUNTIF(all!E$3:E$1003,D27)</f>
        <v>1</v>
      </c>
      <c r="F27" t="s">
        <v>57</v>
      </c>
      <c r="G27" s="94">
        <f t="shared" si="0"/>
        <v>3</v>
      </c>
      <c r="H27">
        <f t="shared" si="1"/>
        <v>1</v>
      </c>
      <c r="I27">
        <f t="shared" si="2"/>
        <v>2</v>
      </c>
      <c r="K27" t="s">
        <v>270</v>
      </c>
      <c r="L27" s="96">
        <f>COUNTIF(all!H$3:H$1003,K27)</f>
        <v>3</v>
      </c>
      <c r="M27" s="97">
        <f>SUMIF(all!H:H,processed!K27,all!Q:Q)</f>
        <v>9.0277777777777735E-2</v>
      </c>
      <c r="N27" s="222">
        <f>SUMIF(all!H:H,processed!K27,all!L:L)</f>
        <v>194</v>
      </c>
      <c r="O27" s="101">
        <f>SUMIF(all!H:H,processed!K27,all!K:K)</f>
        <v>124</v>
      </c>
      <c r="P27" s="149">
        <f t="shared" ref="P27" si="29">O27/N27</f>
        <v>0.63917525773195871</v>
      </c>
      <c r="Q27" s="147">
        <f t="shared" ref="Q27" si="30">N27/(M27*24)</f>
        <v>89.538461538461576</v>
      </c>
      <c r="R27" s="147"/>
      <c r="S27" s="217" t="s">
        <v>842</v>
      </c>
      <c r="T27" s="220">
        <f>COUNTIF(detailed_route!F:AJ,processed!S27)</f>
        <v>3</v>
      </c>
      <c r="U27" s="221">
        <f>SUMIF(detailed_route_test!A:A,processed!S27,detailed_route_test!B:B)</f>
        <v>72</v>
      </c>
      <c r="X27" s="103" t="s">
        <v>204</v>
      </c>
      <c r="Y27">
        <f>COUNTIF(all!I$3:I$1003,X27)</f>
        <v>0</v>
      </c>
      <c r="Z27" s="93">
        <f>SUMIF(all!I:I,processed!X27,all!Q:Q)</f>
        <v>0</v>
      </c>
      <c r="AA27" s="222">
        <f>SUMIF(all!I:I,processed!X27,all!L:L)</f>
        <v>0</v>
      </c>
      <c r="AB27" s="101">
        <f>SUMIF(all!I:I,processed!X27,all!K:K)</f>
        <v>0</v>
      </c>
      <c r="AC27" s="149"/>
      <c r="AD27" s="147"/>
    </row>
    <row r="28" spans="2:48" x14ac:dyDescent="0.25">
      <c r="B28" t="s">
        <v>604</v>
      </c>
      <c r="C28">
        <f>COUNTIF(all!D$3:D$1003,B28)</f>
        <v>2</v>
      </c>
      <c r="D28" t="s">
        <v>605</v>
      </c>
      <c r="E28">
        <f>COUNTIF(all!E$3:E$1003,D28)</f>
        <v>1</v>
      </c>
      <c r="F28" t="s">
        <v>604</v>
      </c>
      <c r="G28" s="94">
        <f t="shared" si="0"/>
        <v>3</v>
      </c>
      <c r="H28">
        <f t="shared" si="1"/>
        <v>2</v>
      </c>
      <c r="I28">
        <f t="shared" si="2"/>
        <v>1</v>
      </c>
      <c r="S28" s="217" t="s">
        <v>846</v>
      </c>
      <c r="T28" s="220">
        <f>COUNTIF(detailed_route!F:AJ,processed!S28)</f>
        <v>1</v>
      </c>
      <c r="U28" s="221">
        <f>SUMIF(detailed_route_test!A:A,processed!S28,detailed_route_test!B:B)</f>
        <v>70</v>
      </c>
      <c r="X28" s="103" t="s">
        <v>206</v>
      </c>
      <c r="Y28">
        <f>COUNTIF(all!I$3:I$1003,X28)</f>
        <v>0</v>
      </c>
      <c r="Z28" s="93">
        <f>SUMIF(all!I:I,processed!X28,all!Q:Q)</f>
        <v>0</v>
      </c>
      <c r="AA28" s="222">
        <f>SUMIF(all!I:I,processed!X28,all!L:L)</f>
        <v>0</v>
      </c>
      <c r="AB28" s="101">
        <f>SUMIF(all!I:I,processed!X28,all!K:K)</f>
        <v>0</v>
      </c>
      <c r="AC28" s="149"/>
      <c r="AD28" s="147"/>
    </row>
    <row r="29" spans="2:48" x14ac:dyDescent="0.25">
      <c r="B29" t="s">
        <v>574</v>
      </c>
      <c r="C29">
        <f>COUNTIF(all!D$3:D$1003,B29)</f>
        <v>2</v>
      </c>
      <c r="D29" t="s">
        <v>604</v>
      </c>
      <c r="E29">
        <f>COUNTIF(all!E$3:E$1003,D29)</f>
        <v>1</v>
      </c>
      <c r="F29" t="s">
        <v>574</v>
      </c>
      <c r="G29" s="94">
        <f t="shared" si="0"/>
        <v>4</v>
      </c>
      <c r="H29">
        <f t="shared" si="1"/>
        <v>2</v>
      </c>
      <c r="I29">
        <f t="shared" si="2"/>
        <v>2</v>
      </c>
      <c r="S29" s="217" t="s">
        <v>810</v>
      </c>
      <c r="T29" s="220">
        <f>COUNTIF(detailed_route!F:AJ,processed!S29)</f>
        <v>1</v>
      </c>
      <c r="U29" s="221">
        <f>SUMIF(detailed_route_test!A:A,processed!S29,detailed_route_test!B:B)</f>
        <v>63</v>
      </c>
      <c r="X29" s="109" t="s">
        <v>53</v>
      </c>
      <c r="Y29">
        <f>COUNTIF(all!I$3:I$1003,X29)</f>
        <v>2</v>
      </c>
      <c r="Z29" s="93">
        <f>SUMIF(all!I:I,processed!X29,all!Q:Q)</f>
        <v>0.12013888888888891</v>
      </c>
      <c r="AA29" s="222">
        <f>SUMIF(all!I:I,processed!X29,all!L:L)</f>
        <v>337</v>
      </c>
      <c r="AB29" s="101">
        <f>SUMIF(all!I:I,processed!X29,all!K:K)</f>
        <v>229.5</v>
      </c>
      <c r="AC29" s="149">
        <f>AB29/AA29</f>
        <v>0.68100890207715137</v>
      </c>
      <c r="AD29" s="147">
        <f>AA29/(Z29*24)</f>
        <v>116.87861271676299</v>
      </c>
    </row>
    <row r="30" spans="2:48" x14ac:dyDescent="0.25">
      <c r="B30" t="s">
        <v>590</v>
      </c>
      <c r="C30">
        <f>COUNTIF(all!D$3:D$1003,B30)</f>
        <v>1</v>
      </c>
      <c r="D30" t="s">
        <v>574</v>
      </c>
      <c r="E30">
        <f>COUNTIF(all!E$3:E$1003,D30)</f>
        <v>2</v>
      </c>
      <c r="F30" t="s">
        <v>590</v>
      </c>
      <c r="G30" s="94">
        <f t="shared" si="0"/>
        <v>1</v>
      </c>
      <c r="H30">
        <f t="shared" si="1"/>
        <v>1</v>
      </c>
      <c r="I30">
        <f t="shared" si="2"/>
        <v>0</v>
      </c>
      <c r="S30" s="217" t="s">
        <v>804</v>
      </c>
      <c r="T30" s="220">
        <f>COUNTIF(detailed_route!F:AJ,processed!S30)</f>
        <v>2</v>
      </c>
      <c r="U30" s="221">
        <f>SUMIF(detailed_route_test!A:A,processed!S30,detailed_route_test!B:B)</f>
        <v>60</v>
      </c>
    </row>
    <row r="31" spans="2:48" x14ac:dyDescent="0.25">
      <c r="B31" t="s">
        <v>672</v>
      </c>
      <c r="C31">
        <f>COUNTIF(all!D$3:D$1003,B31)</f>
        <v>1</v>
      </c>
      <c r="D31" t="s">
        <v>584</v>
      </c>
      <c r="E31">
        <f>COUNTIF(all!E$3:E$1003,D31)</f>
        <v>1</v>
      </c>
      <c r="F31" t="s">
        <v>672</v>
      </c>
      <c r="G31" s="94">
        <f t="shared" si="0"/>
        <v>1</v>
      </c>
      <c r="H31">
        <f t="shared" si="1"/>
        <v>1</v>
      </c>
      <c r="I31">
        <f t="shared" si="2"/>
        <v>0</v>
      </c>
      <c r="S31" s="217" t="s">
        <v>527</v>
      </c>
      <c r="T31" s="220">
        <f>COUNTIF(detailed_route!F:AJ,processed!S31)</f>
        <v>22</v>
      </c>
      <c r="U31" s="221">
        <f>SUMIF(detailed_route_test!A:A,processed!S31,detailed_route_test!B:B)</f>
        <v>44</v>
      </c>
      <c r="AV31" s="281"/>
    </row>
    <row r="32" spans="2:48" x14ac:dyDescent="0.25">
      <c r="B32" t="s">
        <v>673</v>
      </c>
      <c r="C32">
        <f>COUNTIF(all!D$3:D$1003,B32)</f>
        <v>1</v>
      </c>
      <c r="D32" t="s">
        <v>597</v>
      </c>
      <c r="E32">
        <f>COUNTIF(all!E$3:E$1003,D32)</f>
        <v>1</v>
      </c>
      <c r="F32" t="s">
        <v>673</v>
      </c>
      <c r="G32" s="94">
        <f t="shared" si="0"/>
        <v>1</v>
      </c>
      <c r="H32">
        <f t="shared" si="1"/>
        <v>1</v>
      </c>
      <c r="I32">
        <f t="shared" si="2"/>
        <v>0</v>
      </c>
      <c r="S32" s="217" t="s">
        <v>827</v>
      </c>
      <c r="T32" s="220">
        <f>COUNTIF(detailed_route!F:AJ,processed!S32)</f>
        <v>1</v>
      </c>
      <c r="U32" s="221">
        <f>SUMIF(detailed_route_test!A:A,processed!S32,detailed_route_test!B:B)</f>
        <v>42</v>
      </c>
      <c r="AV32" s="281"/>
    </row>
    <row r="33" spans="2:48" x14ac:dyDescent="0.25">
      <c r="B33" t="s">
        <v>648</v>
      </c>
      <c r="C33">
        <f>COUNTIF(all!D$3:D$1003,B33)</f>
        <v>1</v>
      </c>
      <c r="D33" t="s">
        <v>674</v>
      </c>
      <c r="E33">
        <f>COUNTIF(all!E$3:E$1003,D33)</f>
        <v>1</v>
      </c>
      <c r="F33" t="s">
        <v>648</v>
      </c>
      <c r="G33" s="94">
        <f t="shared" si="0"/>
        <v>3</v>
      </c>
      <c r="H33">
        <f t="shared" si="1"/>
        <v>1</v>
      </c>
      <c r="I33">
        <f t="shared" si="2"/>
        <v>2</v>
      </c>
      <c r="S33" s="217" t="s">
        <v>850</v>
      </c>
      <c r="T33" s="220">
        <f>COUNTIF(detailed_route!F:AJ,processed!S33)</f>
        <v>1</v>
      </c>
      <c r="U33" s="221">
        <f>SUMIF(detailed_route_test!A:A,processed!S33,detailed_route_test!B:B)</f>
        <v>32</v>
      </c>
      <c r="AV33" s="281"/>
    </row>
    <row r="34" spans="2:48" x14ac:dyDescent="0.25">
      <c r="B34" t="s">
        <v>653</v>
      </c>
      <c r="C34">
        <f>COUNTIF(all!D$3:D$1003,B34)</f>
        <v>1</v>
      </c>
      <c r="D34" t="s">
        <v>648</v>
      </c>
      <c r="E34">
        <f>COUNTIF(all!E$3:E$1003,D34)</f>
        <v>2</v>
      </c>
      <c r="F34" t="s">
        <v>653</v>
      </c>
      <c r="G34" s="94">
        <f t="shared" si="0"/>
        <v>1</v>
      </c>
      <c r="H34">
        <f t="shared" si="1"/>
        <v>1</v>
      </c>
      <c r="I34">
        <f t="shared" si="2"/>
        <v>0</v>
      </c>
      <c r="S34" s="217" t="s">
        <v>816</v>
      </c>
      <c r="T34" s="220">
        <f>COUNTIF(detailed_route!F:AJ,processed!S34)</f>
        <v>3</v>
      </c>
      <c r="U34" s="221">
        <f>SUMIF(detailed_route_test!A:A,processed!S34,detailed_route_test!B:B)</f>
        <v>30</v>
      </c>
      <c r="AV34" s="281"/>
    </row>
    <row r="35" spans="2:48" x14ac:dyDescent="0.25">
      <c r="B35" t="s">
        <v>660</v>
      </c>
      <c r="C35">
        <f>COUNTIF(all!D$3:D$1003,B35)</f>
        <v>1</v>
      </c>
      <c r="D35" t="s">
        <v>655</v>
      </c>
      <c r="E35">
        <f>COUNTIF(all!E$3:E$1003,D35)</f>
        <v>1</v>
      </c>
      <c r="F35" t="s">
        <v>660</v>
      </c>
      <c r="G35" s="94">
        <f t="shared" si="0"/>
        <v>1</v>
      </c>
      <c r="H35">
        <f t="shared" si="1"/>
        <v>1</v>
      </c>
      <c r="I35">
        <f t="shared" si="2"/>
        <v>0</v>
      </c>
      <c r="S35" s="217" t="s">
        <v>856</v>
      </c>
      <c r="T35" s="220">
        <f>COUNTIF(detailed_route!F:AJ,processed!S35)</f>
        <v>1</v>
      </c>
      <c r="U35" s="221">
        <f>SUMIF(detailed_route_test!A:A,processed!S35,detailed_route_test!B:B)</f>
        <v>26</v>
      </c>
      <c r="AV35" s="281"/>
    </row>
    <row r="36" spans="2:48" x14ac:dyDescent="0.25">
      <c r="B36" t="s">
        <v>662</v>
      </c>
      <c r="C36">
        <f>COUNTIF(all!D$3:D$1003,B36)</f>
        <v>1</v>
      </c>
      <c r="D36" t="s">
        <v>662</v>
      </c>
      <c r="E36">
        <f>COUNTIF(all!E$3:E$1003,D36)</f>
        <v>1</v>
      </c>
      <c r="F36" t="s">
        <v>662</v>
      </c>
      <c r="G36" s="94">
        <f t="shared" ref="G36:G41" si="31">H36+I36</f>
        <v>2</v>
      </c>
      <c r="H36">
        <f t="shared" si="1"/>
        <v>1</v>
      </c>
      <c r="I36">
        <f t="shared" si="2"/>
        <v>1</v>
      </c>
      <c r="S36" s="217" t="s">
        <v>844</v>
      </c>
      <c r="T36" s="220">
        <f>COUNTIF(detailed_route!F:AJ,processed!S36)</f>
        <v>3</v>
      </c>
      <c r="U36" s="221">
        <f>SUMIF(detailed_route_test!A:A,processed!S36,detailed_route_test!B:B)</f>
        <v>21</v>
      </c>
      <c r="AV36" s="281"/>
    </row>
    <row r="37" spans="2:48" x14ac:dyDescent="0.25">
      <c r="D37" t="s">
        <v>668</v>
      </c>
      <c r="E37">
        <f>COUNTIF(all!E$3:E$1003,D37)</f>
        <v>1</v>
      </c>
      <c r="F37" t="s">
        <v>94</v>
      </c>
      <c r="G37" s="94">
        <f t="shared" si="31"/>
        <v>1</v>
      </c>
      <c r="H37">
        <f t="shared" si="1"/>
        <v>0</v>
      </c>
      <c r="I37">
        <f t="shared" si="2"/>
        <v>1</v>
      </c>
      <c r="S37" s="217" t="s">
        <v>835</v>
      </c>
      <c r="T37" s="220">
        <f>COUNTIF(detailed_route!F:AJ,processed!S37)</f>
        <v>2</v>
      </c>
      <c r="U37" s="221">
        <f>SUMIF(detailed_route_test!A:A,processed!S37,detailed_route_test!B:B)</f>
        <v>16</v>
      </c>
      <c r="AV37" s="281"/>
    </row>
    <row r="38" spans="2:48" x14ac:dyDescent="0.25">
      <c r="F38" t="s">
        <v>6</v>
      </c>
      <c r="G38" s="94">
        <f t="shared" si="31"/>
        <v>1</v>
      </c>
      <c r="H38">
        <f t="shared" si="1"/>
        <v>0</v>
      </c>
      <c r="I38">
        <f t="shared" si="2"/>
        <v>1</v>
      </c>
      <c r="S38" s="217" t="s">
        <v>848</v>
      </c>
      <c r="T38" s="220">
        <f>COUNTIF(detailed_route!F:AJ,processed!S38)</f>
        <v>1</v>
      </c>
      <c r="U38" s="221">
        <f>SUMIF(detailed_route_test!A:A,processed!S38,detailed_route_test!B:B)</f>
        <v>12</v>
      </c>
      <c r="AV38" s="281"/>
    </row>
    <row r="39" spans="2:48" x14ac:dyDescent="0.25">
      <c r="F39" t="s">
        <v>523</v>
      </c>
      <c r="G39" s="94">
        <f t="shared" si="31"/>
        <v>1</v>
      </c>
      <c r="H39">
        <f t="shared" si="1"/>
        <v>0</v>
      </c>
      <c r="I39">
        <f t="shared" si="2"/>
        <v>1</v>
      </c>
      <c r="AV39" s="281"/>
    </row>
    <row r="40" spans="2:48" x14ac:dyDescent="0.25">
      <c r="F40" t="s">
        <v>32</v>
      </c>
      <c r="G40" s="94">
        <f t="shared" si="31"/>
        <v>1</v>
      </c>
      <c r="H40">
        <f t="shared" si="1"/>
        <v>0</v>
      </c>
      <c r="I40">
        <f t="shared" si="2"/>
        <v>1</v>
      </c>
      <c r="AV40" s="281"/>
    </row>
    <row r="41" spans="2:48" x14ac:dyDescent="0.25">
      <c r="F41" t="s">
        <v>37</v>
      </c>
      <c r="G41" s="94">
        <f t="shared" si="31"/>
        <v>1</v>
      </c>
      <c r="H41">
        <f t="shared" si="1"/>
        <v>0</v>
      </c>
      <c r="I41">
        <f t="shared" si="2"/>
        <v>1</v>
      </c>
      <c r="AV41" s="281"/>
    </row>
    <row r="42" spans="2:48" x14ac:dyDescent="0.25">
      <c r="F42" t="s">
        <v>80</v>
      </c>
      <c r="G42" s="94">
        <f t="shared" ref="G42:G50" si="32">H42+I42</f>
        <v>1</v>
      </c>
      <c r="H42">
        <f t="shared" si="1"/>
        <v>0</v>
      </c>
      <c r="I42">
        <f t="shared" si="2"/>
        <v>1</v>
      </c>
      <c r="AV42" s="281"/>
    </row>
    <row r="43" spans="2:48" x14ac:dyDescent="0.25">
      <c r="F43" t="s">
        <v>85</v>
      </c>
      <c r="G43" s="94">
        <f t="shared" si="32"/>
        <v>1</v>
      </c>
      <c r="H43">
        <f t="shared" si="1"/>
        <v>0</v>
      </c>
      <c r="I43">
        <f t="shared" si="2"/>
        <v>1</v>
      </c>
      <c r="AV43" s="281"/>
    </row>
    <row r="44" spans="2:48" x14ac:dyDescent="0.25">
      <c r="F44" t="s">
        <v>89</v>
      </c>
      <c r="G44" s="94">
        <f t="shared" si="32"/>
        <v>1</v>
      </c>
      <c r="H44">
        <f t="shared" si="1"/>
        <v>0</v>
      </c>
      <c r="I44">
        <f t="shared" si="2"/>
        <v>1</v>
      </c>
      <c r="AV44" s="281"/>
    </row>
    <row r="45" spans="2:48" x14ac:dyDescent="0.25">
      <c r="F45" t="s">
        <v>605</v>
      </c>
      <c r="G45" s="94">
        <f t="shared" si="32"/>
        <v>1</v>
      </c>
      <c r="H45">
        <f t="shared" si="1"/>
        <v>0</v>
      </c>
      <c r="I45">
        <f t="shared" si="2"/>
        <v>1</v>
      </c>
      <c r="AV45" s="281"/>
    </row>
    <row r="46" spans="2:48" x14ac:dyDescent="0.25">
      <c r="F46" t="s">
        <v>584</v>
      </c>
      <c r="G46" s="94">
        <f t="shared" si="32"/>
        <v>1</v>
      </c>
      <c r="H46">
        <f t="shared" si="1"/>
        <v>0</v>
      </c>
      <c r="I46">
        <f t="shared" si="2"/>
        <v>1</v>
      </c>
      <c r="AV46" s="281"/>
    </row>
    <row r="47" spans="2:48" x14ac:dyDescent="0.25">
      <c r="F47" t="s">
        <v>597</v>
      </c>
      <c r="G47" s="94">
        <f t="shared" si="32"/>
        <v>1</v>
      </c>
      <c r="H47">
        <f t="shared" si="1"/>
        <v>0</v>
      </c>
      <c r="I47">
        <f t="shared" si="2"/>
        <v>1</v>
      </c>
      <c r="AV47" s="281"/>
    </row>
    <row r="48" spans="2:48" x14ac:dyDescent="0.25">
      <c r="F48" t="s">
        <v>674</v>
      </c>
      <c r="G48" s="94">
        <f t="shared" si="32"/>
        <v>1</v>
      </c>
      <c r="H48">
        <f t="shared" si="1"/>
        <v>0</v>
      </c>
      <c r="I48">
        <f t="shared" si="2"/>
        <v>1</v>
      </c>
      <c r="AV48" s="281"/>
    </row>
    <row r="49" spans="6:48" x14ac:dyDescent="0.25">
      <c r="F49" t="s">
        <v>655</v>
      </c>
      <c r="G49" s="94">
        <f t="shared" si="32"/>
        <v>1</v>
      </c>
      <c r="H49">
        <f t="shared" si="1"/>
        <v>0</v>
      </c>
      <c r="I49">
        <f t="shared" si="2"/>
        <v>1</v>
      </c>
      <c r="AV49" s="281"/>
    </row>
    <row r="50" spans="6:48" x14ac:dyDescent="0.25">
      <c r="F50" t="s">
        <v>668</v>
      </c>
      <c r="G50" s="94">
        <f t="shared" si="32"/>
        <v>1</v>
      </c>
      <c r="H50">
        <f t="shared" si="1"/>
        <v>0</v>
      </c>
      <c r="I50">
        <f t="shared" si="2"/>
        <v>1</v>
      </c>
      <c r="AV50" s="281"/>
    </row>
    <row r="51" spans="6:48" x14ac:dyDescent="0.25">
      <c r="AV51" s="281"/>
    </row>
    <row r="52" spans="6:48" x14ac:dyDescent="0.25">
      <c r="AV52" s="281"/>
    </row>
    <row r="53" spans="6:48" x14ac:dyDescent="0.25">
      <c r="AV53" s="281"/>
    </row>
    <row r="54" spans="6:48" x14ac:dyDescent="0.25">
      <c r="AV54" s="281"/>
    </row>
    <row r="55" spans="6:48" x14ac:dyDescent="0.25">
      <c r="AV55" s="281"/>
    </row>
    <row r="56" spans="6:48" x14ac:dyDescent="0.25">
      <c r="AV56" s="281"/>
    </row>
    <row r="57" spans="6:48" x14ac:dyDescent="0.25">
      <c r="AV57" s="281"/>
    </row>
    <row r="58" spans="6:48" x14ac:dyDescent="0.25">
      <c r="AV58" s="281"/>
    </row>
    <row r="59" spans="6:48" x14ac:dyDescent="0.25">
      <c r="AV59" s="281"/>
    </row>
    <row r="60" spans="6:48" x14ac:dyDescent="0.25">
      <c r="AV60" s="281"/>
    </row>
    <row r="61" spans="6:48" x14ac:dyDescent="0.25">
      <c r="AV61" s="281"/>
    </row>
    <row r="62" spans="6:48" x14ac:dyDescent="0.25">
      <c r="AV62" s="281"/>
    </row>
    <row r="63" spans="6:48" x14ac:dyDescent="0.25">
      <c r="AV63" s="281"/>
    </row>
    <row r="64" spans="6:48" x14ac:dyDescent="0.25">
      <c r="AV64" s="281"/>
    </row>
    <row r="65" spans="48:48" x14ac:dyDescent="0.25">
      <c r="AV65" s="281"/>
    </row>
    <row r="66" spans="48:48" x14ac:dyDescent="0.25">
      <c r="AV66" s="281"/>
    </row>
    <row r="67" spans="48:48" x14ac:dyDescent="0.25">
      <c r="AV67" s="281"/>
    </row>
    <row r="68" spans="48:48" x14ac:dyDescent="0.25">
      <c r="AV68" s="281"/>
    </row>
    <row r="69" spans="48:48" x14ac:dyDescent="0.25">
      <c r="AV69" s="281"/>
    </row>
    <row r="70" spans="48:48" x14ac:dyDescent="0.25">
      <c r="AV70" s="281"/>
    </row>
    <row r="71" spans="48:48" x14ac:dyDescent="0.25">
      <c r="AV71" s="281"/>
    </row>
    <row r="72" spans="48:48" x14ac:dyDescent="0.25">
      <c r="AV72" s="281"/>
    </row>
    <row r="73" spans="48:48" x14ac:dyDescent="0.25">
      <c r="AV73" s="281"/>
    </row>
    <row r="74" spans="48:48" x14ac:dyDescent="0.25">
      <c r="AV74" s="281"/>
    </row>
    <row r="75" spans="48:48" x14ac:dyDescent="0.25">
      <c r="AV75" s="281"/>
    </row>
    <row r="76" spans="48:48" x14ac:dyDescent="0.25">
      <c r="AV76" s="281"/>
    </row>
    <row r="77" spans="48:48" x14ac:dyDescent="0.25">
      <c r="AV77" s="281"/>
    </row>
    <row r="78" spans="48:48" x14ac:dyDescent="0.25">
      <c r="AV78" s="281"/>
    </row>
    <row r="79" spans="48:48" x14ac:dyDescent="0.25">
      <c r="AV79" s="281"/>
    </row>
    <row r="80" spans="48:48" x14ac:dyDescent="0.25">
      <c r="AV80" s="281"/>
    </row>
    <row r="81" spans="48:48" x14ac:dyDescent="0.25">
      <c r="AV81" s="281"/>
    </row>
    <row r="82" spans="48:48" x14ac:dyDescent="0.25">
      <c r="AV82" s="281"/>
    </row>
    <row r="83" spans="48:48" x14ac:dyDescent="0.25">
      <c r="AV83" s="281"/>
    </row>
    <row r="84" spans="48:48" x14ac:dyDescent="0.25">
      <c r="AV84" s="281"/>
    </row>
    <row r="85" spans="48:48" x14ac:dyDescent="0.25">
      <c r="AV85" s="281"/>
    </row>
    <row r="86" spans="48:48" x14ac:dyDescent="0.25">
      <c r="AV86" s="281"/>
    </row>
    <row r="87" spans="48:48" x14ac:dyDescent="0.25">
      <c r="AV87" s="281"/>
    </row>
    <row r="88" spans="48:48" x14ac:dyDescent="0.25">
      <c r="AV88" s="281"/>
    </row>
    <row r="89" spans="48:48" x14ac:dyDescent="0.25">
      <c r="AV89" s="281"/>
    </row>
    <row r="90" spans="48:48" x14ac:dyDescent="0.25">
      <c r="AV90" s="281"/>
    </row>
    <row r="91" spans="48:48" x14ac:dyDescent="0.25">
      <c r="AV91" s="281"/>
    </row>
    <row r="92" spans="48:48" x14ac:dyDescent="0.25">
      <c r="AV92" s="281"/>
    </row>
    <row r="93" spans="48:48" x14ac:dyDescent="0.25">
      <c r="AV93" s="281"/>
    </row>
    <row r="94" spans="48:48" x14ac:dyDescent="0.25">
      <c r="AV94" s="281"/>
    </row>
    <row r="95" spans="48:48" x14ac:dyDescent="0.25">
      <c r="AV95" s="281"/>
    </row>
    <row r="96" spans="48:48" x14ac:dyDescent="0.25">
      <c r="AV96" s="281"/>
    </row>
    <row r="97" spans="48:48" x14ac:dyDescent="0.25">
      <c r="AV97" s="281"/>
    </row>
    <row r="98" spans="48:48" x14ac:dyDescent="0.25">
      <c r="AV98" s="281"/>
    </row>
    <row r="99" spans="48:48" x14ac:dyDescent="0.25">
      <c r="AV99" s="281"/>
    </row>
    <row r="100" spans="48:48" x14ac:dyDescent="0.25">
      <c r="AV100" s="281"/>
    </row>
    <row r="101" spans="48:48" x14ac:dyDescent="0.25">
      <c r="AV101" s="281"/>
    </row>
    <row r="102" spans="48:48" x14ac:dyDescent="0.25">
      <c r="AV102" s="281"/>
    </row>
    <row r="103" spans="48:48" x14ac:dyDescent="0.25">
      <c r="AV103" s="281"/>
    </row>
    <row r="104" spans="48:48" x14ac:dyDescent="0.25">
      <c r="AV104" s="281"/>
    </row>
    <row r="105" spans="48:48" x14ac:dyDescent="0.25">
      <c r="AV105" s="281"/>
    </row>
    <row r="106" spans="48:48" x14ac:dyDescent="0.25">
      <c r="AV106" s="281"/>
    </row>
    <row r="107" spans="48:48" x14ac:dyDescent="0.25">
      <c r="AV107" s="281"/>
    </row>
    <row r="108" spans="48:48" x14ac:dyDescent="0.25">
      <c r="AV108" s="281"/>
    </row>
    <row r="109" spans="48:48" x14ac:dyDescent="0.25">
      <c r="AV109" s="281"/>
    </row>
    <row r="110" spans="48:48" x14ac:dyDescent="0.25">
      <c r="AV110" s="281"/>
    </row>
    <row r="111" spans="48:48" x14ac:dyDescent="0.25">
      <c r="AV111" s="281"/>
    </row>
    <row r="112" spans="48:48" x14ac:dyDescent="0.25">
      <c r="AV112" s="281"/>
    </row>
  </sheetData>
  <mergeCells count="44">
    <mergeCell ref="AT19:AT20"/>
    <mergeCell ref="AS2:AT2"/>
    <mergeCell ref="AR3:AR8"/>
    <mergeCell ref="AR9:AR12"/>
    <mergeCell ref="AR13:AR15"/>
    <mergeCell ref="AR16:AR18"/>
    <mergeCell ref="AT3:AT8"/>
    <mergeCell ref="AT9:AT12"/>
    <mergeCell ref="AT13:AT15"/>
    <mergeCell ref="AT16:AT18"/>
    <mergeCell ref="AQ2:AR2"/>
    <mergeCell ref="AR19:AR20"/>
    <mergeCell ref="AJ3:AJ8"/>
    <mergeCell ref="AJ9:AJ12"/>
    <mergeCell ref="AJ13:AJ15"/>
    <mergeCell ref="AJ16:AJ18"/>
    <mergeCell ref="AJ19:AJ20"/>
    <mergeCell ref="AL3:AL8"/>
    <mergeCell ref="AL9:AL12"/>
    <mergeCell ref="AL13:AL15"/>
    <mergeCell ref="AL16:AL18"/>
    <mergeCell ref="AL19:AL20"/>
    <mergeCell ref="AG3:AG8"/>
    <mergeCell ref="AG9:AG12"/>
    <mergeCell ref="AG13:AG15"/>
    <mergeCell ref="AG16:AG18"/>
    <mergeCell ref="AG19:AG20"/>
    <mergeCell ref="AV31:AV67"/>
    <mergeCell ref="AV68:AV72"/>
    <mergeCell ref="AV73:AV92"/>
    <mergeCell ref="AV93:AV106"/>
    <mergeCell ref="AV107:AV112"/>
    <mergeCell ref="AM2:AN2"/>
    <mergeCell ref="AO2:AP2"/>
    <mergeCell ref="AN3:AN8"/>
    <mergeCell ref="AN9:AN12"/>
    <mergeCell ref="AN13:AN15"/>
    <mergeCell ref="AN16:AN18"/>
    <mergeCell ref="AN19:AN20"/>
    <mergeCell ref="AP3:AP8"/>
    <mergeCell ref="AP9:AP12"/>
    <mergeCell ref="AP13:AP15"/>
    <mergeCell ref="AP16:AP18"/>
    <mergeCell ref="AP19:AP2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76CD-B808-43B0-AF06-9C1270BD3A28}">
  <dimension ref="A1:I49"/>
  <sheetViews>
    <sheetView workbookViewId="0">
      <selection activeCell="B2" sqref="B2"/>
    </sheetView>
  </sheetViews>
  <sheetFormatPr defaultRowHeight="13.8" x14ac:dyDescent="0.25"/>
  <cols>
    <col min="1" max="1" width="10.77734375" style="9" customWidth="1"/>
    <col min="2" max="4" width="8.77734375" style="10" customWidth="1"/>
    <col min="5" max="5" width="8.77734375" style="11" customWidth="1"/>
    <col min="6" max="6" width="6.33203125" style="3" customWidth="1"/>
    <col min="7" max="16384" width="8.88671875" style="3"/>
  </cols>
  <sheetData>
    <row r="1" spans="1:9" ht="14.4" thickTop="1" x14ac:dyDescent="0.25">
      <c r="A1" s="6" t="s">
        <v>177</v>
      </c>
      <c r="B1" s="7" t="s">
        <v>175</v>
      </c>
      <c r="C1" s="7" t="s">
        <v>179</v>
      </c>
      <c r="D1" s="7" t="s">
        <v>180</v>
      </c>
      <c r="E1" s="8" t="s">
        <v>181</v>
      </c>
      <c r="F1" s="3" t="s">
        <v>184</v>
      </c>
      <c r="G1" s="3" t="s">
        <v>182</v>
      </c>
      <c r="H1" s="3" t="s">
        <v>183</v>
      </c>
      <c r="I1" s="3" t="s">
        <v>178</v>
      </c>
    </row>
    <row r="2" spans="1:9" x14ac:dyDescent="0.25">
      <c r="A2" s="9" t="s">
        <v>15</v>
      </c>
      <c r="B2" s="10">
        <f t="shared" ref="B2:B49" si="0">C2+D2+E2</f>
        <v>30</v>
      </c>
      <c r="C2" s="10">
        <v>18</v>
      </c>
      <c r="D2" s="10">
        <v>12</v>
      </c>
      <c r="E2" s="11">
        <v>0</v>
      </c>
      <c r="G2" s="3">
        <f>SUMIF(processed!B:B,A2,processed!C:C)</f>
        <v>18</v>
      </c>
      <c r="H2" s="3">
        <f>SUMIF(processed!D:D,A2,processed!E:E)</f>
        <v>14</v>
      </c>
      <c r="I2" s="3">
        <f t="shared" ref="I2:I49" si="1">G2+H2</f>
        <v>32</v>
      </c>
    </row>
    <row r="3" spans="1:9" x14ac:dyDescent="0.25">
      <c r="A3" s="9" t="s">
        <v>4</v>
      </c>
      <c r="B3" s="10">
        <f t="shared" si="0"/>
        <v>29</v>
      </c>
      <c r="C3" s="10">
        <v>12</v>
      </c>
      <c r="D3" s="10">
        <v>17</v>
      </c>
      <c r="E3" s="11">
        <v>0</v>
      </c>
      <c r="G3" s="126">
        <f>SUMIF(processed!B:B,A3,processed!C:C)</f>
        <v>14</v>
      </c>
      <c r="H3" s="126">
        <f>SUMIF(processed!D:D,A3,processed!E:E)</f>
        <v>17</v>
      </c>
      <c r="I3" s="126">
        <f t="shared" si="1"/>
        <v>31</v>
      </c>
    </row>
    <row r="4" spans="1:9" x14ac:dyDescent="0.25">
      <c r="A4" s="9" t="s">
        <v>66</v>
      </c>
      <c r="B4" s="10">
        <f t="shared" si="0"/>
        <v>5</v>
      </c>
      <c r="C4" s="10">
        <v>1</v>
      </c>
      <c r="D4" s="10">
        <v>1</v>
      </c>
      <c r="E4" s="11">
        <v>3</v>
      </c>
      <c r="G4" s="126">
        <f>SUMIF(processed!B:B,A4,processed!C:C)</f>
        <v>3</v>
      </c>
      <c r="H4" s="126">
        <f>SUMIF(processed!D:D,A4,processed!E:E)</f>
        <v>4</v>
      </c>
      <c r="I4" s="126">
        <f t="shared" si="1"/>
        <v>7</v>
      </c>
    </row>
    <row r="5" spans="1:9" x14ac:dyDescent="0.25">
      <c r="A5" s="9" t="s">
        <v>57</v>
      </c>
      <c r="B5" s="10">
        <f t="shared" si="0"/>
        <v>3</v>
      </c>
      <c r="C5" s="10">
        <v>1</v>
      </c>
      <c r="D5" s="10">
        <v>2</v>
      </c>
      <c r="E5" s="11">
        <v>0</v>
      </c>
      <c r="G5" s="126">
        <f>SUMIF(processed!B:B,A5,processed!C:C)</f>
        <v>1</v>
      </c>
      <c r="H5" s="126">
        <f>SUMIF(processed!D:D,A5,processed!E:E)</f>
        <v>2</v>
      </c>
      <c r="I5" s="126">
        <f t="shared" si="1"/>
        <v>3</v>
      </c>
    </row>
    <row r="6" spans="1:9" x14ac:dyDescent="0.25">
      <c r="A6" s="9" t="s">
        <v>648</v>
      </c>
      <c r="B6" s="10">
        <f t="shared" si="0"/>
        <v>3</v>
      </c>
      <c r="C6" s="10">
        <v>1</v>
      </c>
      <c r="D6" s="10">
        <v>2</v>
      </c>
      <c r="E6" s="11">
        <v>0</v>
      </c>
      <c r="G6" s="126">
        <f>SUMIF(processed!B:B,A6,processed!C:C)</f>
        <v>1</v>
      </c>
      <c r="H6" s="126">
        <f>SUMIF(processed!D:D,A6,processed!E:E)</f>
        <v>2</v>
      </c>
      <c r="I6" s="126">
        <f t="shared" si="1"/>
        <v>3</v>
      </c>
    </row>
    <row r="7" spans="1:9" x14ac:dyDescent="0.25">
      <c r="A7" s="9" t="s">
        <v>42</v>
      </c>
      <c r="B7" s="10">
        <f t="shared" si="0"/>
        <v>3</v>
      </c>
      <c r="C7" s="10">
        <v>1</v>
      </c>
      <c r="D7" s="10">
        <v>2</v>
      </c>
      <c r="E7" s="11">
        <v>0</v>
      </c>
      <c r="G7" s="126">
        <f>SUMIF(processed!B:B,A7,processed!C:C)</f>
        <v>1</v>
      </c>
      <c r="H7" s="126">
        <f>SUMIF(processed!D:D,A7,processed!E:E)</f>
        <v>2</v>
      </c>
      <c r="I7" s="126">
        <f t="shared" si="1"/>
        <v>3</v>
      </c>
    </row>
    <row r="8" spans="1:9" x14ac:dyDescent="0.25">
      <c r="A8" s="9" t="s">
        <v>604</v>
      </c>
      <c r="B8" s="10">
        <f t="shared" si="0"/>
        <v>3</v>
      </c>
      <c r="C8" s="10">
        <v>2</v>
      </c>
      <c r="D8" s="10">
        <v>1</v>
      </c>
      <c r="E8" s="11">
        <v>0</v>
      </c>
      <c r="G8" s="126">
        <f>SUMIF(processed!B:B,A8,processed!C:C)</f>
        <v>2</v>
      </c>
      <c r="H8" s="126">
        <f>SUMIF(processed!D:D,A8,processed!E:E)</f>
        <v>1</v>
      </c>
      <c r="I8" s="126">
        <f t="shared" si="1"/>
        <v>3</v>
      </c>
    </row>
    <row r="9" spans="1:9" x14ac:dyDescent="0.25">
      <c r="A9" s="9" t="s">
        <v>25</v>
      </c>
      <c r="B9" s="10">
        <f t="shared" si="0"/>
        <v>3</v>
      </c>
      <c r="C9" s="10">
        <v>2</v>
      </c>
      <c r="D9" s="10">
        <v>1</v>
      </c>
      <c r="E9" s="11">
        <v>0</v>
      </c>
      <c r="G9" s="126">
        <f>SUMIF(processed!B:B,A9,processed!C:C)</f>
        <v>2</v>
      </c>
      <c r="H9" s="126">
        <f>SUMIF(processed!D:D,A9,processed!E:E)</f>
        <v>1</v>
      </c>
      <c r="I9" s="126">
        <f t="shared" si="1"/>
        <v>3</v>
      </c>
    </row>
    <row r="10" spans="1:9" x14ac:dyDescent="0.25">
      <c r="A10" s="9" t="s">
        <v>574</v>
      </c>
      <c r="B10" s="10">
        <f t="shared" si="0"/>
        <v>3</v>
      </c>
      <c r="C10" s="10">
        <v>1</v>
      </c>
      <c r="D10" s="10">
        <v>1</v>
      </c>
      <c r="E10" s="11">
        <v>1</v>
      </c>
      <c r="G10" s="126">
        <f>SUMIF(processed!B:B,A10,processed!C:C)</f>
        <v>2</v>
      </c>
      <c r="H10" s="126">
        <f>SUMIF(processed!D:D,A10,processed!E:E)</f>
        <v>2</v>
      </c>
      <c r="I10" s="126">
        <f t="shared" si="1"/>
        <v>4</v>
      </c>
    </row>
    <row r="11" spans="1:9" x14ac:dyDescent="0.25">
      <c r="A11" s="9" t="s">
        <v>39</v>
      </c>
      <c r="B11" s="10">
        <f t="shared" si="0"/>
        <v>3</v>
      </c>
      <c r="C11" s="10">
        <v>1</v>
      </c>
      <c r="D11" s="10">
        <v>0</v>
      </c>
      <c r="E11" s="11">
        <v>2</v>
      </c>
      <c r="G11" s="126">
        <f>SUMIF(processed!B:B,A11,processed!C:C)</f>
        <v>3</v>
      </c>
      <c r="H11" s="126">
        <f>SUMIF(processed!D:D,A11,processed!E:E)</f>
        <v>1</v>
      </c>
      <c r="I11" s="126">
        <f t="shared" si="1"/>
        <v>4</v>
      </c>
    </row>
    <row r="12" spans="1:9" x14ac:dyDescent="0.25">
      <c r="A12" s="9" t="s">
        <v>522</v>
      </c>
      <c r="B12" s="10">
        <f t="shared" si="0"/>
        <v>2</v>
      </c>
      <c r="C12" s="10">
        <v>1</v>
      </c>
      <c r="D12" s="10">
        <v>1</v>
      </c>
      <c r="E12" s="11">
        <v>0</v>
      </c>
      <c r="G12" s="126">
        <f>SUMIF(processed!B:B,A12,processed!C:C)</f>
        <v>1</v>
      </c>
      <c r="H12" s="126">
        <f>SUMIF(processed!D:D,A12,processed!E:E)</f>
        <v>1</v>
      </c>
      <c r="I12" s="126">
        <f t="shared" si="1"/>
        <v>2</v>
      </c>
    </row>
    <row r="13" spans="1:9" x14ac:dyDescent="0.25">
      <c r="A13" s="9" t="s">
        <v>71</v>
      </c>
      <c r="B13" s="10">
        <f t="shared" si="0"/>
        <v>2</v>
      </c>
      <c r="C13" s="10">
        <v>1</v>
      </c>
      <c r="D13" s="10">
        <v>1</v>
      </c>
      <c r="E13" s="11">
        <v>0</v>
      </c>
      <c r="G13" s="126">
        <f>SUMIF(processed!B:B,A13,processed!C:C)</f>
        <v>1</v>
      </c>
      <c r="H13" s="126">
        <f>SUMIF(processed!D:D,A13,processed!E:E)</f>
        <v>1</v>
      </c>
      <c r="I13" s="126">
        <f t="shared" si="1"/>
        <v>2</v>
      </c>
    </row>
    <row r="14" spans="1:9" x14ac:dyDescent="0.25">
      <c r="A14" s="9" t="s">
        <v>74</v>
      </c>
      <c r="B14" s="10">
        <f t="shared" si="0"/>
        <v>2</v>
      </c>
      <c r="C14" s="10">
        <v>1</v>
      </c>
      <c r="D14" s="10">
        <v>1</v>
      </c>
      <c r="E14" s="11">
        <v>0</v>
      </c>
      <c r="G14" s="126">
        <f>SUMIF(processed!B:B,A14,processed!C:C)</f>
        <v>1</v>
      </c>
      <c r="H14" s="126">
        <f>SUMIF(processed!D:D,A14,processed!E:E)</f>
        <v>1</v>
      </c>
      <c r="I14" s="126">
        <f t="shared" si="1"/>
        <v>2</v>
      </c>
    </row>
    <row r="15" spans="1:9" x14ac:dyDescent="0.25">
      <c r="A15" s="9" t="s">
        <v>35</v>
      </c>
      <c r="B15" s="10">
        <f t="shared" si="0"/>
        <v>2</v>
      </c>
      <c r="C15" s="10">
        <v>1</v>
      </c>
      <c r="D15" s="10">
        <v>1</v>
      </c>
      <c r="E15" s="11">
        <v>0</v>
      </c>
      <c r="G15" s="126">
        <f>SUMIF(processed!B:B,A15,processed!C:C)</f>
        <v>1</v>
      </c>
      <c r="H15" s="126">
        <f>SUMIF(processed!D:D,A15,processed!E:E)</f>
        <v>1</v>
      </c>
      <c r="I15" s="126">
        <f t="shared" si="1"/>
        <v>2</v>
      </c>
    </row>
    <row r="16" spans="1:9" x14ac:dyDescent="0.25">
      <c r="A16" s="9" t="s">
        <v>662</v>
      </c>
      <c r="B16" s="10">
        <f t="shared" si="0"/>
        <v>2</v>
      </c>
      <c r="C16" s="10">
        <v>1</v>
      </c>
      <c r="D16" s="10">
        <v>1</v>
      </c>
      <c r="E16" s="11">
        <v>0</v>
      </c>
      <c r="G16" s="126">
        <f>SUMIF(processed!B:B,A16,processed!C:C)</f>
        <v>1</v>
      </c>
      <c r="H16" s="126">
        <f>SUMIF(processed!D:D,A16,processed!E:E)</f>
        <v>1</v>
      </c>
      <c r="I16" s="126">
        <f t="shared" si="1"/>
        <v>2</v>
      </c>
    </row>
    <row r="17" spans="1:9" x14ac:dyDescent="0.25">
      <c r="A17" s="9" t="s">
        <v>28</v>
      </c>
      <c r="B17" s="10">
        <f t="shared" si="0"/>
        <v>2</v>
      </c>
      <c r="C17" s="10">
        <v>1</v>
      </c>
      <c r="D17" s="10">
        <v>1</v>
      </c>
      <c r="E17" s="11">
        <v>0</v>
      </c>
      <c r="G17" s="126">
        <f>SUMIF(processed!B:B,A17,processed!C:C)</f>
        <v>1</v>
      </c>
      <c r="H17" s="126">
        <f>SUMIF(processed!D:D,A17,processed!E:E)</f>
        <v>1</v>
      </c>
      <c r="I17" s="126">
        <f t="shared" si="1"/>
        <v>2</v>
      </c>
    </row>
    <row r="18" spans="1:9" x14ac:dyDescent="0.25">
      <c r="A18" s="9" t="s">
        <v>283</v>
      </c>
      <c r="B18" s="10">
        <f t="shared" si="0"/>
        <v>2</v>
      </c>
      <c r="C18" s="10">
        <v>1</v>
      </c>
      <c r="D18" s="10">
        <v>1</v>
      </c>
      <c r="E18" s="11">
        <v>0</v>
      </c>
      <c r="G18" s="126">
        <f>SUMIF(processed!B:B,A18,processed!C:C)</f>
        <v>1</v>
      </c>
      <c r="H18" s="126">
        <f>SUMIF(processed!D:D,A18,processed!E:E)</f>
        <v>1</v>
      </c>
      <c r="I18" s="126">
        <f t="shared" si="1"/>
        <v>2</v>
      </c>
    </row>
    <row r="19" spans="1:9" x14ac:dyDescent="0.25">
      <c r="A19" s="9" t="s">
        <v>85</v>
      </c>
      <c r="B19" s="10">
        <f t="shared" si="0"/>
        <v>1</v>
      </c>
      <c r="C19" s="10">
        <v>0</v>
      </c>
      <c r="D19" s="10">
        <v>1</v>
      </c>
      <c r="E19" s="11">
        <v>0</v>
      </c>
      <c r="G19" s="126">
        <f>SUMIF(processed!B:B,A19,processed!C:C)</f>
        <v>0</v>
      </c>
      <c r="H19" s="126">
        <f>SUMIF(processed!D:D,A19,processed!E:E)</f>
        <v>1</v>
      </c>
      <c r="I19" s="126">
        <f t="shared" si="1"/>
        <v>1</v>
      </c>
    </row>
    <row r="20" spans="1:9" x14ac:dyDescent="0.25">
      <c r="A20" s="9" t="s">
        <v>655</v>
      </c>
      <c r="B20" s="10">
        <f t="shared" si="0"/>
        <v>1</v>
      </c>
      <c r="C20" s="10">
        <v>0</v>
      </c>
      <c r="D20" s="10">
        <v>1</v>
      </c>
      <c r="E20" s="11">
        <v>0</v>
      </c>
      <c r="G20" s="126">
        <f>SUMIF(processed!B:B,A20,processed!C:C)</f>
        <v>0</v>
      </c>
      <c r="H20" s="126">
        <f>SUMIF(processed!D:D,A20,processed!E:E)</f>
        <v>1</v>
      </c>
      <c r="I20" s="126">
        <f t="shared" si="1"/>
        <v>1</v>
      </c>
    </row>
    <row r="21" spans="1:9" x14ac:dyDescent="0.25">
      <c r="A21" s="9" t="s">
        <v>523</v>
      </c>
      <c r="B21" s="10">
        <f t="shared" si="0"/>
        <v>1</v>
      </c>
      <c r="C21" s="10">
        <v>0</v>
      </c>
      <c r="D21" s="10">
        <v>1</v>
      </c>
      <c r="E21" s="11">
        <v>0</v>
      </c>
      <c r="G21" s="126">
        <f>SUMIF(processed!B:B,A21,processed!C:C)</f>
        <v>0</v>
      </c>
      <c r="H21" s="126">
        <f>SUMIF(processed!D:D,A21,processed!E:E)</f>
        <v>1</v>
      </c>
      <c r="I21" s="126">
        <f t="shared" si="1"/>
        <v>1</v>
      </c>
    </row>
    <row r="22" spans="1:9" x14ac:dyDescent="0.25">
      <c r="A22" s="9" t="s">
        <v>94</v>
      </c>
      <c r="B22" s="10">
        <f t="shared" si="0"/>
        <v>1</v>
      </c>
      <c r="C22" s="10">
        <v>0</v>
      </c>
      <c r="D22" s="10">
        <v>1</v>
      </c>
      <c r="E22" s="11">
        <v>0</v>
      </c>
      <c r="G22" s="126">
        <f>SUMIF(processed!B:B,A22,processed!C:C)</f>
        <v>0</v>
      </c>
      <c r="H22" s="126">
        <f>SUMIF(processed!D:D,A22,processed!E:E)</f>
        <v>1</v>
      </c>
      <c r="I22" s="126">
        <f t="shared" si="1"/>
        <v>1</v>
      </c>
    </row>
    <row r="23" spans="1:9" x14ac:dyDescent="0.25">
      <c r="A23" s="9" t="s">
        <v>584</v>
      </c>
      <c r="B23" s="10">
        <f t="shared" si="0"/>
        <v>1</v>
      </c>
      <c r="C23" s="10">
        <v>0</v>
      </c>
      <c r="D23" s="10">
        <v>1</v>
      </c>
      <c r="E23" s="11">
        <v>0</v>
      </c>
      <c r="G23" s="126">
        <f>SUMIF(processed!B:B,A23,processed!C:C)</f>
        <v>0</v>
      </c>
      <c r="H23" s="126">
        <f>SUMIF(processed!D:D,A23,processed!E:E)</f>
        <v>1</v>
      </c>
      <c r="I23" s="126">
        <f t="shared" si="1"/>
        <v>1</v>
      </c>
    </row>
    <row r="24" spans="1:9" x14ac:dyDescent="0.25">
      <c r="A24" s="9" t="s">
        <v>668</v>
      </c>
      <c r="B24" s="10">
        <f t="shared" si="0"/>
        <v>1</v>
      </c>
      <c r="C24" s="10">
        <v>0</v>
      </c>
      <c r="D24" s="10">
        <v>1</v>
      </c>
      <c r="E24" s="11">
        <v>0</v>
      </c>
      <c r="G24" s="126">
        <f>SUMIF(processed!B:B,A24,processed!C:C)</f>
        <v>0</v>
      </c>
      <c r="H24" s="126">
        <f>SUMIF(processed!D:D,A24,processed!E:E)</f>
        <v>1</v>
      </c>
      <c r="I24" s="126">
        <f t="shared" si="1"/>
        <v>1</v>
      </c>
    </row>
    <row r="25" spans="1:9" x14ac:dyDescent="0.25">
      <c r="A25" s="9" t="s">
        <v>89</v>
      </c>
      <c r="B25" s="10">
        <f t="shared" si="0"/>
        <v>1</v>
      </c>
      <c r="C25" s="10">
        <v>0</v>
      </c>
      <c r="D25" s="10">
        <v>1</v>
      </c>
      <c r="E25" s="11">
        <v>0</v>
      </c>
      <c r="G25" s="126">
        <f>SUMIF(processed!B:B,A25,processed!C:C)</f>
        <v>0</v>
      </c>
      <c r="H25" s="126">
        <f>SUMIF(processed!D:D,A25,processed!E:E)</f>
        <v>1</v>
      </c>
      <c r="I25" s="126">
        <f t="shared" si="1"/>
        <v>1</v>
      </c>
    </row>
    <row r="26" spans="1:9" x14ac:dyDescent="0.25">
      <c r="A26" s="9" t="s">
        <v>80</v>
      </c>
      <c r="B26" s="10">
        <f t="shared" si="0"/>
        <v>1</v>
      </c>
      <c r="C26" s="10">
        <v>0</v>
      </c>
      <c r="D26" s="10">
        <v>1</v>
      </c>
      <c r="E26" s="11">
        <v>0</v>
      </c>
      <c r="G26" s="126">
        <f>SUMIF(processed!B:B,A26,processed!C:C)</f>
        <v>0</v>
      </c>
      <c r="H26" s="126">
        <f>SUMIF(processed!D:D,A26,processed!E:E)</f>
        <v>1</v>
      </c>
      <c r="I26" s="126">
        <f t="shared" si="1"/>
        <v>1</v>
      </c>
    </row>
    <row r="27" spans="1:9" x14ac:dyDescent="0.25">
      <c r="A27" s="9" t="s">
        <v>37</v>
      </c>
      <c r="B27" s="10">
        <f t="shared" si="0"/>
        <v>1</v>
      </c>
      <c r="C27" s="10">
        <v>0</v>
      </c>
      <c r="D27" s="10">
        <v>1</v>
      </c>
      <c r="E27" s="11">
        <v>0</v>
      </c>
      <c r="G27" s="126">
        <f>SUMIF(processed!B:B,A27,processed!C:C)</f>
        <v>0</v>
      </c>
      <c r="H27" s="126">
        <f>SUMIF(processed!D:D,A27,processed!E:E)</f>
        <v>1</v>
      </c>
      <c r="I27" s="126">
        <f t="shared" si="1"/>
        <v>1</v>
      </c>
    </row>
    <row r="28" spans="1:9" x14ac:dyDescent="0.25">
      <c r="A28" s="9" t="s">
        <v>597</v>
      </c>
      <c r="B28" s="10">
        <f t="shared" si="0"/>
        <v>1</v>
      </c>
      <c r="C28" s="10">
        <v>0</v>
      </c>
      <c r="D28" s="10">
        <v>1</v>
      </c>
      <c r="E28" s="11">
        <v>0</v>
      </c>
      <c r="G28" s="126">
        <f>SUMIF(processed!B:B,A28,processed!C:C)</f>
        <v>0</v>
      </c>
      <c r="H28" s="126">
        <f>SUMIF(processed!D:D,A28,processed!E:E)</f>
        <v>1</v>
      </c>
      <c r="I28" s="126">
        <f t="shared" si="1"/>
        <v>1</v>
      </c>
    </row>
    <row r="29" spans="1:9" x14ac:dyDescent="0.25">
      <c r="A29" s="9" t="s">
        <v>605</v>
      </c>
      <c r="B29" s="10">
        <f t="shared" si="0"/>
        <v>1</v>
      </c>
      <c r="C29" s="10">
        <v>0</v>
      </c>
      <c r="D29" s="10">
        <v>1</v>
      </c>
      <c r="E29" s="11">
        <v>0</v>
      </c>
      <c r="G29" s="126">
        <f>SUMIF(processed!B:B,A29,processed!C:C)</f>
        <v>0</v>
      </c>
      <c r="H29" s="126">
        <f>SUMIF(processed!D:D,A29,processed!E:E)</f>
        <v>1</v>
      </c>
      <c r="I29" s="126">
        <f t="shared" si="1"/>
        <v>1</v>
      </c>
    </row>
    <row r="30" spans="1:9" x14ac:dyDescent="0.25">
      <c r="A30" s="9" t="s">
        <v>6</v>
      </c>
      <c r="B30" s="10">
        <f t="shared" si="0"/>
        <v>1</v>
      </c>
      <c r="C30" s="10">
        <v>0</v>
      </c>
      <c r="D30" s="10">
        <v>1</v>
      </c>
      <c r="E30" s="11">
        <v>0</v>
      </c>
      <c r="G30" s="126">
        <f>SUMIF(processed!B:B,A30,processed!C:C)</f>
        <v>0</v>
      </c>
      <c r="H30" s="126">
        <f>SUMIF(processed!D:D,A30,processed!E:E)</f>
        <v>1</v>
      </c>
      <c r="I30" s="126">
        <f t="shared" si="1"/>
        <v>1</v>
      </c>
    </row>
    <row r="31" spans="1:9" x14ac:dyDescent="0.25">
      <c r="A31" s="9" t="s">
        <v>674</v>
      </c>
      <c r="B31" s="10">
        <f t="shared" si="0"/>
        <v>1</v>
      </c>
      <c r="C31" s="10">
        <v>0</v>
      </c>
      <c r="D31" s="10">
        <v>1</v>
      </c>
      <c r="E31" s="11">
        <v>0</v>
      </c>
      <c r="G31" s="126">
        <f>SUMIF(processed!B:B,A31,processed!C:C)</f>
        <v>0</v>
      </c>
      <c r="H31" s="126">
        <f>SUMIF(processed!D:D,A31,processed!E:E)</f>
        <v>1</v>
      </c>
      <c r="I31" s="126">
        <f t="shared" si="1"/>
        <v>1</v>
      </c>
    </row>
    <row r="32" spans="1:9" x14ac:dyDescent="0.25">
      <c r="A32" s="9" t="s">
        <v>32</v>
      </c>
      <c r="B32" s="10">
        <f t="shared" si="0"/>
        <v>1</v>
      </c>
      <c r="C32" s="10">
        <v>0</v>
      </c>
      <c r="D32" s="10">
        <v>1</v>
      </c>
      <c r="E32" s="11">
        <v>0</v>
      </c>
      <c r="G32" s="126">
        <f>SUMIF(processed!B:B,A32,processed!C:C)</f>
        <v>0</v>
      </c>
      <c r="H32" s="126">
        <f>SUMIF(processed!D:D,A32,processed!E:E)</f>
        <v>1</v>
      </c>
      <c r="I32" s="126">
        <f t="shared" si="1"/>
        <v>1</v>
      </c>
    </row>
    <row r="33" spans="1:9" x14ac:dyDescent="0.25">
      <c r="A33" s="9" t="s">
        <v>266</v>
      </c>
      <c r="B33" s="10">
        <f t="shared" si="0"/>
        <v>1</v>
      </c>
      <c r="C33" s="10">
        <v>1</v>
      </c>
      <c r="D33" s="10">
        <v>0</v>
      </c>
      <c r="E33" s="11">
        <v>0</v>
      </c>
      <c r="G33" s="126">
        <f>SUMIF(processed!B:B,A33,processed!C:C)</f>
        <v>1</v>
      </c>
      <c r="H33" s="126">
        <f>SUMIF(processed!D:D,A33,processed!E:E)</f>
        <v>0</v>
      </c>
      <c r="I33" s="126">
        <f t="shared" si="1"/>
        <v>1</v>
      </c>
    </row>
    <row r="34" spans="1:9" x14ac:dyDescent="0.25">
      <c r="A34" s="9" t="s">
        <v>92</v>
      </c>
      <c r="B34" s="10">
        <f t="shared" si="0"/>
        <v>1</v>
      </c>
      <c r="C34" s="10">
        <v>1</v>
      </c>
      <c r="D34" s="10">
        <v>0</v>
      </c>
      <c r="E34" s="11">
        <v>0</v>
      </c>
      <c r="G34" s="126">
        <f>SUMIF(processed!B:B,A34,processed!C:C)</f>
        <v>1</v>
      </c>
      <c r="H34" s="126">
        <f>SUMIF(processed!D:D,A34,processed!E:E)</f>
        <v>0</v>
      </c>
      <c r="I34" s="126">
        <f t="shared" si="1"/>
        <v>1</v>
      </c>
    </row>
    <row r="35" spans="1:9" x14ac:dyDescent="0.25">
      <c r="A35" s="9" t="s">
        <v>590</v>
      </c>
      <c r="B35" s="10">
        <f t="shared" si="0"/>
        <v>1</v>
      </c>
      <c r="C35" s="10">
        <v>1</v>
      </c>
      <c r="D35" s="10">
        <v>0</v>
      </c>
      <c r="E35" s="11">
        <v>0</v>
      </c>
      <c r="G35" s="126">
        <f>SUMIF(processed!B:B,A35,processed!C:C)</f>
        <v>1</v>
      </c>
      <c r="H35" s="126">
        <f>SUMIF(processed!D:D,A35,processed!E:E)</f>
        <v>0</v>
      </c>
      <c r="I35" s="126">
        <f t="shared" si="1"/>
        <v>1</v>
      </c>
    </row>
    <row r="36" spans="1:9" x14ac:dyDescent="0.25">
      <c r="A36" s="9" t="s">
        <v>87</v>
      </c>
      <c r="B36" s="10">
        <f t="shared" si="0"/>
        <v>1</v>
      </c>
      <c r="C36" s="10">
        <v>1</v>
      </c>
      <c r="D36" s="10">
        <v>0</v>
      </c>
      <c r="E36" s="11">
        <v>0</v>
      </c>
      <c r="G36" s="126">
        <f>SUMIF(processed!B:B,A36,processed!C:C)</f>
        <v>1</v>
      </c>
      <c r="H36" s="126">
        <f>SUMIF(processed!D:D,A36,processed!E:E)</f>
        <v>0</v>
      </c>
      <c r="I36" s="126">
        <f t="shared" si="1"/>
        <v>1</v>
      </c>
    </row>
    <row r="37" spans="1:9" x14ac:dyDescent="0.25">
      <c r="A37" s="9" t="s">
        <v>83</v>
      </c>
      <c r="B37" s="10">
        <f t="shared" si="0"/>
        <v>1</v>
      </c>
      <c r="C37" s="10">
        <v>1</v>
      </c>
      <c r="D37" s="10">
        <v>0</v>
      </c>
      <c r="E37" s="11">
        <v>0</v>
      </c>
      <c r="G37" s="126">
        <f>SUMIF(processed!B:B,A37,processed!C:C)</f>
        <v>1</v>
      </c>
      <c r="H37" s="126">
        <f>SUMIF(processed!D:D,A37,processed!E:E)</f>
        <v>0</v>
      </c>
      <c r="I37" s="126">
        <f t="shared" si="1"/>
        <v>1</v>
      </c>
    </row>
    <row r="38" spans="1:9" x14ac:dyDescent="0.25">
      <c r="A38" s="9" t="s">
        <v>673</v>
      </c>
      <c r="B38" s="10">
        <f t="shared" si="0"/>
        <v>1</v>
      </c>
      <c r="C38" s="10">
        <v>1</v>
      </c>
      <c r="D38" s="10">
        <v>0</v>
      </c>
      <c r="E38" s="11">
        <v>0</v>
      </c>
      <c r="G38" s="126">
        <f>SUMIF(processed!B:B,A38,processed!C:C)</f>
        <v>1</v>
      </c>
      <c r="H38" s="126">
        <f>SUMIF(processed!D:D,A38,processed!E:E)</f>
        <v>0</v>
      </c>
      <c r="I38" s="126">
        <f t="shared" si="1"/>
        <v>1</v>
      </c>
    </row>
    <row r="39" spans="1:9" x14ac:dyDescent="0.25">
      <c r="A39" s="9" t="s">
        <v>10</v>
      </c>
      <c r="B39" s="10">
        <f t="shared" si="0"/>
        <v>1</v>
      </c>
      <c r="C39" s="10">
        <v>1</v>
      </c>
      <c r="D39" s="10">
        <v>0</v>
      </c>
      <c r="E39" s="11">
        <v>0</v>
      </c>
      <c r="G39" s="126">
        <f>SUMIF(processed!B:B,A39,processed!C:C)</f>
        <v>1</v>
      </c>
      <c r="H39" s="126">
        <f>SUMIF(processed!D:D,A39,processed!E:E)</f>
        <v>0</v>
      </c>
      <c r="I39" s="126">
        <f t="shared" si="1"/>
        <v>1</v>
      </c>
    </row>
    <row r="40" spans="1:9" x14ac:dyDescent="0.25">
      <c r="A40" s="9" t="s">
        <v>672</v>
      </c>
      <c r="B40" s="10">
        <f t="shared" si="0"/>
        <v>1</v>
      </c>
      <c r="C40" s="10">
        <v>1</v>
      </c>
      <c r="D40" s="10">
        <v>0</v>
      </c>
      <c r="E40" s="11">
        <v>0</v>
      </c>
      <c r="G40" s="126">
        <f>SUMIF(processed!B:B,A40,processed!C:C)</f>
        <v>1</v>
      </c>
      <c r="H40" s="126">
        <f>SUMIF(processed!D:D,A40,processed!E:E)</f>
        <v>0</v>
      </c>
      <c r="I40" s="126">
        <f t="shared" si="1"/>
        <v>1</v>
      </c>
    </row>
    <row r="41" spans="1:9" x14ac:dyDescent="0.25">
      <c r="A41" s="9" t="s">
        <v>653</v>
      </c>
      <c r="B41" s="10">
        <f t="shared" si="0"/>
        <v>1</v>
      </c>
      <c r="C41" s="10">
        <v>1</v>
      </c>
      <c r="D41" s="10">
        <v>0</v>
      </c>
      <c r="E41" s="11">
        <v>0</v>
      </c>
      <c r="G41" s="172">
        <f>SUMIF(processed!B:B,A41,processed!C:C)</f>
        <v>1</v>
      </c>
      <c r="H41" s="172">
        <f>SUMIF(processed!D:D,A41,processed!E:E)</f>
        <v>0</v>
      </c>
      <c r="I41" s="172">
        <f t="shared" si="1"/>
        <v>1</v>
      </c>
    </row>
    <row r="42" spans="1:9" x14ac:dyDescent="0.25">
      <c r="A42" s="9" t="s">
        <v>23</v>
      </c>
      <c r="B42" s="10">
        <f t="shared" si="0"/>
        <v>1</v>
      </c>
      <c r="C42" s="10">
        <v>1</v>
      </c>
      <c r="D42" s="10">
        <v>0</v>
      </c>
      <c r="E42" s="11">
        <v>0</v>
      </c>
      <c r="G42" s="172">
        <f>SUMIF(processed!B:B,A42,processed!C:C)</f>
        <v>1</v>
      </c>
      <c r="H42" s="172">
        <f>SUMIF(processed!D:D,A42,processed!E:E)</f>
        <v>0</v>
      </c>
      <c r="I42" s="172">
        <f t="shared" si="1"/>
        <v>1</v>
      </c>
    </row>
    <row r="43" spans="1:9" x14ac:dyDescent="0.25">
      <c r="A43" s="9" t="s">
        <v>69</v>
      </c>
      <c r="B43" s="10">
        <f t="shared" si="0"/>
        <v>1</v>
      </c>
      <c r="C43" s="10">
        <v>1</v>
      </c>
      <c r="D43" s="10">
        <v>0</v>
      </c>
      <c r="E43" s="11">
        <v>0</v>
      </c>
      <c r="G43" s="172">
        <f>SUMIF(processed!B:B,A43,processed!C:C)</f>
        <v>1</v>
      </c>
      <c r="H43" s="172">
        <f>SUMIF(processed!D:D,A43,processed!E:E)</f>
        <v>0</v>
      </c>
      <c r="I43" s="172">
        <f t="shared" si="1"/>
        <v>1</v>
      </c>
    </row>
    <row r="44" spans="1:9" x14ac:dyDescent="0.25">
      <c r="A44" s="9" t="s">
        <v>47</v>
      </c>
      <c r="B44" s="10">
        <f t="shared" si="0"/>
        <v>1</v>
      </c>
      <c r="C44" s="10">
        <v>1</v>
      </c>
      <c r="D44" s="10">
        <v>0</v>
      </c>
      <c r="E44" s="11">
        <v>0</v>
      </c>
      <c r="G44" s="172">
        <f>SUMIF(processed!B:B,A44,processed!C:C)</f>
        <v>1</v>
      </c>
      <c r="H44" s="172">
        <f>SUMIF(processed!D:D,A44,processed!E:E)</f>
        <v>0</v>
      </c>
      <c r="I44" s="172">
        <f t="shared" si="1"/>
        <v>1</v>
      </c>
    </row>
    <row r="45" spans="1:9" x14ac:dyDescent="0.25">
      <c r="A45" s="9" t="s">
        <v>660</v>
      </c>
      <c r="B45" s="10">
        <f t="shared" si="0"/>
        <v>1</v>
      </c>
      <c r="C45" s="10">
        <v>1</v>
      </c>
      <c r="D45" s="10">
        <v>0</v>
      </c>
      <c r="E45" s="11">
        <v>0</v>
      </c>
      <c r="G45" s="172">
        <f>SUMIF(processed!B:B,A45,processed!C:C)</f>
        <v>1</v>
      </c>
      <c r="H45" s="172">
        <f>SUMIF(processed!D:D,A45,processed!E:E)</f>
        <v>0</v>
      </c>
      <c r="I45" s="172">
        <f t="shared" si="1"/>
        <v>1</v>
      </c>
    </row>
    <row r="46" spans="1:9" x14ac:dyDescent="0.25">
      <c r="A46" s="9" t="s">
        <v>60</v>
      </c>
      <c r="B46" s="10">
        <f t="shared" si="0"/>
        <v>1</v>
      </c>
      <c r="C46" s="10">
        <v>0</v>
      </c>
      <c r="D46" s="10">
        <v>0</v>
      </c>
      <c r="E46" s="11">
        <v>1</v>
      </c>
      <c r="G46" s="172">
        <f>SUMIF(processed!B:B,A46,processed!C:C)</f>
        <v>1</v>
      </c>
      <c r="H46" s="172">
        <f>SUMIF(processed!D:D,A46,processed!E:E)</f>
        <v>1</v>
      </c>
      <c r="I46" s="172">
        <f t="shared" si="1"/>
        <v>2</v>
      </c>
    </row>
    <row r="47" spans="1:9" x14ac:dyDescent="0.25">
      <c r="A47" s="9" t="s">
        <v>63</v>
      </c>
      <c r="B47" s="10">
        <f t="shared" si="0"/>
        <v>0</v>
      </c>
      <c r="C47" s="10">
        <v>0</v>
      </c>
      <c r="D47" s="10">
        <v>0</v>
      </c>
      <c r="E47" s="11">
        <v>0</v>
      </c>
      <c r="F47" s="3">
        <v>1</v>
      </c>
      <c r="G47" s="172">
        <f>SUMIF(processed!B:B,A47,processed!C:C)</f>
        <v>1</v>
      </c>
      <c r="H47" s="172">
        <f>SUMIF(processed!D:D,A47,processed!E:E)</f>
        <v>1</v>
      </c>
      <c r="I47" s="172">
        <f t="shared" si="1"/>
        <v>2</v>
      </c>
    </row>
    <row r="48" spans="1:9" x14ac:dyDescent="0.25">
      <c r="A48" s="9" t="s">
        <v>77</v>
      </c>
      <c r="B48" s="10">
        <f t="shared" si="0"/>
        <v>0</v>
      </c>
      <c r="C48" s="10">
        <v>0</v>
      </c>
      <c r="D48" s="10">
        <v>0</v>
      </c>
      <c r="E48" s="11">
        <v>0</v>
      </c>
      <c r="F48" s="3">
        <v>1</v>
      </c>
      <c r="G48" s="172">
        <f>SUMIF(processed!B:B,A48,processed!C:C)</f>
        <v>1</v>
      </c>
      <c r="H48" s="172">
        <f>SUMIF(processed!D:D,A48,processed!E:E)</f>
        <v>1</v>
      </c>
      <c r="I48" s="172">
        <f t="shared" si="1"/>
        <v>2</v>
      </c>
    </row>
    <row r="49" spans="1:9" x14ac:dyDescent="0.25">
      <c r="A49" s="9" t="s">
        <v>49</v>
      </c>
      <c r="B49" s="10">
        <f t="shared" si="0"/>
        <v>0</v>
      </c>
      <c r="C49" s="10">
        <v>0</v>
      </c>
      <c r="D49" s="10">
        <v>0</v>
      </c>
      <c r="E49" s="11">
        <v>0</v>
      </c>
      <c r="F49" s="3">
        <v>1</v>
      </c>
      <c r="G49" s="172">
        <f>SUMIF(processed!B:B,A49,processed!C:C)</f>
        <v>1</v>
      </c>
      <c r="H49" s="172">
        <f>SUMIF(processed!D:D,A49,processed!E:E)</f>
        <v>1</v>
      </c>
      <c r="I49" s="172">
        <f t="shared" si="1"/>
        <v>2</v>
      </c>
    </row>
  </sheetData>
  <autoFilter ref="A1:I30" xr:uid="{175876CD-B808-43B0-AF06-9C1270BD3A28}">
    <sortState xmlns:xlrd2="http://schemas.microsoft.com/office/spreadsheetml/2017/richdata2" ref="A2:I40">
      <sortCondition ref="A1:A30"/>
    </sortState>
  </autoFilter>
  <sortState xmlns:xlrd2="http://schemas.microsoft.com/office/spreadsheetml/2017/richdata2" ref="A2:I49">
    <sortCondition descending="1" ref="B2:B49"/>
    <sortCondition ref="E2:E49"/>
    <sortCondition descending="1" ref="D2:D49"/>
    <sortCondition ref="A2:A49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E78C-E255-4881-B489-FC45FE666185}">
  <dimension ref="A1:AG826"/>
  <sheetViews>
    <sheetView zoomScale="85" zoomScaleNormal="85" workbookViewId="0">
      <pane xSplit="3" ySplit="2" topLeftCell="G15" activePane="bottomRight" state="frozen"/>
      <selection pane="topRight" activeCell="D1" sqref="D1"/>
      <selection pane="bottomLeft" activeCell="A3" sqref="A3"/>
      <selection pane="bottomRight" activeCell="H44" sqref="H44"/>
    </sheetView>
  </sheetViews>
  <sheetFormatPr defaultRowHeight="17.399999999999999" x14ac:dyDescent="0.25"/>
  <cols>
    <col min="1" max="2" width="9.88671875" style="214" customWidth="1"/>
    <col min="3" max="3" width="9.109375" style="210" customWidth="1"/>
    <col min="4" max="4" width="101.44140625" style="201" customWidth="1"/>
    <col min="5" max="5" width="3.21875" customWidth="1"/>
    <col min="6" max="6" width="8.77734375" style="206" customWidth="1"/>
    <col min="7" max="7" width="3.77734375" style="176" customWidth="1"/>
    <col min="8" max="8" width="12.77734375" style="206" customWidth="1"/>
    <col min="9" max="9" width="5.77734375" style="206" customWidth="1"/>
    <col min="10" max="10" width="3.77734375" style="207" customWidth="1"/>
    <col min="11" max="11" width="8.77734375" style="206" customWidth="1"/>
    <col min="12" max="12" width="3.77734375" style="207" customWidth="1"/>
    <col min="13" max="13" width="12.77734375" style="206" customWidth="1"/>
    <col min="14" max="14" width="5.77734375" style="206" customWidth="1"/>
    <col min="15" max="15" width="3.77734375" style="207" customWidth="1"/>
    <col min="16" max="16" width="8.77734375" style="206" customWidth="1"/>
    <col min="17" max="17" width="3.77734375" style="207" customWidth="1"/>
    <col min="18" max="18" width="12.77734375" style="206" customWidth="1"/>
    <col min="19" max="19" width="5.77734375" style="206" customWidth="1"/>
    <col min="20" max="20" width="3.77734375" style="207" customWidth="1"/>
    <col min="21" max="21" width="8.77734375" style="206" customWidth="1"/>
    <col min="22" max="22" width="3.77734375" style="206" customWidth="1"/>
    <col min="23" max="23" width="12.77734375" style="206" customWidth="1"/>
    <col min="24" max="24" width="5.77734375" style="206" customWidth="1"/>
    <col min="25" max="25" width="3.77734375" style="206" customWidth="1"/>
    <col min="26" max="26" width="8.77734375" style="206" customWidth="1"/>
    <col min="27" max="27" width="3.77734375" style="206" customWidth="1"/>
    <col min="28" max="28" width="12.77734375" style="206" customWidth="1"/>
    <col min="29" max="29" width="8.109375" style="206" customWidth="1"/>
    <col min="30" max="30" width="3.77734375" style="202" customWidth="1"/>
    <col min="31" max="31" width="8.77734375" style="202" customWidth="1"/>
    <col min="32" max="32" width="3.77734375" customWidth="1"/>
    <col min="33" max="33" width="12.77734375" customWidth="1"/>
  </cols>
  <sheetData>
    <row r="1" spans="1:33" x14ac:dyDescent="0.25">
      <c r="A1" s="211" t="s">
        <v>723</v>
      </c>
      <c r="B1" s="211" t="s">
        <v>724</v>
      </c>
      <c r="C1" s="208" t="s">
        <v>675</v>
      </c>
      <c r="D1" s="199" t="s">
        <v>676</v>
      </c>
      <c r="E1" s="188"/>
      <c r="G1" s="198"/>
      <c r="J1" s="206"/>
      <c r="L1" s="206"/>
      <c r="O1" s="206"/>
      <c r="Q1" s="206"/>
      <c r="T1" s="206"/>
      <c r="AA1" s="202"/>
    </row>
    <row r="2" spans="1:33" x14ac:dyDescent="0.25">
      <c r="A2" s="212"/>
      <c r="B2" s="212"/>
      <c r="C2" s="209"/>
      <c r="D2" s="200"/>
      <c r="E2" s="190"/>
      <c r="F2" s="206">
        <f t="shared" ref="F2" si="0">COUNTA(F3:F9999)</f>
        <v>69</v>
      </c>
      <c r="G2" s="206"/>
      <c r="H2" s="206">
        <f>COUNTA(H3:H9999)</f>
        <v>69</v>
      </c>
      <c r="J2" s="206"/>
      <c r="K2" s="206">
        <f t="shared" ref="K2:AB2" si="1">COUNTA(K3:K9999)</f>
        <v>69</v>
      </c>
      <c r="L2" s="206"/>
      <c r="M2" s="206">
        <f t="shared" si="1"/>
        <v>38</v>
      </c>
      <c r="O2" s="206"/>
      <c r="P2" s="206">
        <f t="shared" si="1"/>
        <v>38</v>
      </c>
      <c r="Q2" s="206"/>
      <c r="R2" s="206">
        <f t="shared" si="1"/>
        <v>32</v>
      </c>
      <c r="T2" s="206"/>
      <c r="U2" s="206">
        <f t="shared" si="1"/>
        <v>32</v>
      </c>
      <c r="W2" s="206">
        <f t="shared" si="1"/>
        <v>24</v>
      </c>
      <c r="Z2" s="206">
        <f t="shared" si="1"/>
        <v>24</v>
      </c>
      <c r="AB2" s="206">
        <f t="shared" si="1"/>
        <v>1</v>
      </c>
      <c r="AD2" s="206"/>
      <c r="AE2" s="206">
        <f t="shared" ref="AE2" si="2">COUNTA(AE3:AE9999)</f>
        <v>1</v>
      </c>
      <c r="AF2" s="206"/>
      <c r="AG2" s="206"/>
    </row>
    <row r="3" spans="1:33" x14ac:dyDescent="0.25">
      <c r="A3" s="213" t="s">
        <v>92</v>
      </c>
      <c r="B3" s="213" t="s">
        <v>94</v>
      </c>
      <c r="C3" s="210" t="s">
        <v>677</v>
      </c>
      <c r="D3" s="201" t="s">
        <v>744</v>
      </c>
      <c r="E3" s="189"/>
      <c r="F3" s="204" t="s">
        <v>92</v>
      </c>
      <c r="G3" s="203" t="s">
        <v>743</v>
      </c>
      <c r="H3" s="205" t="s">
        <v>795</v>
      </c>
      <c r="I3" s="205" t="s">
        <v>796</v>
      </c>
      <c r="J3" s="203" t="s">
        <v>743</v>
      </c>
      <c r="K3" s="204" t="s">
        <v>725</v>
      </c>
      <c r="L3" s="203" t="s">
        <v>743</v>
      </c>
      <c r="M3" s="205" t="s">
        <v>833</v>
      </c>
      <c r="N3" s="205" t="s">
        <v>834</v>
      </c>
      <c r="O3" s="203" t="s">
        <v>743</v>
      </c>
      <c r="P3" s="204" t="s">
        <v>726</v>
      </c>
      <c r="Q3" s="203" t="s">
        <v>743</v>
      </c>
      <c r="R3" s="205" t="s">
        <v>850</v>
      </c>
      <c r="S3" s="205" t="s">
        <v>706</v>
      </c>
      <c r="T3" s="203" t="s">
        <v>743</v>
      </c>
      <c r="U3" s="204" t="s">
        <v>94</v>
      </c>
      <c r="V3" s="202"/>
      <c r="AA3" s="202"/>
    </row>
    <row r="4" spans="1:33" x14ac:dyDescent="0.25">
      <c r="A4" s="213" t="s">
        <v>4</v>
      </c>
      <c r="B4" s="213" t="s">
        <v>6</v>
      </c>
      <c r="C4" s="210" t="s">
        <v>678</v>
      </c>
      <c r="D4" s="201" t="s">
        <v>745</v>
      </c>
      <c r="F4" s="204" t="s">
        <v>4</v>
      </c>
      <c r="G4" s="203" t="s">
        <v>743</v>
      </c>
      <c r="H4" s="205" t="s">
        <v>524</v>
      </c>
      <c r="I4" s="205" t="s">
        <v>797</v>
      </c>
      <c r="J4" s="203" t="s">
        <v>743</v>
      </c>
      <c r="K4" s="204" t="s">
        <v>727</v>
      </c>
      <c r="L4" s="203" t="s">
        <v>743</v>
      </c>
      <c r="M4" s="205" t="s">
        <v>835</v>
      </c>
      <c r="N4" s="205" t="s">
        <v>836</v>
      </c>
      <c r="O4" s="203" t="s">
        <v>743</v>
      </c>
      <c r="P4" s="204" t="s">
        <v>728</v>
      </c>
      <c r="Q4" s="203" t="s">
        <v>743</v>
      </c>
      <c r="R4" s="205" t="s">
        <v>798</v>
      </c>
      <c r="S4" s="205" t="s">
        <v>851</v>
      </c>
      <c r="T4" s="203" t="s">
        <v>743</v>
      </c>
      <c r="U4" s="204" t="s">
        <v>729</v>
      </c>
      <c r="V4" s="203" t="s">
        <v>743</v>
      </c>
      <c r="W4" s="205" t="s">
        <v>856</v>
      </c>
      <c r="X4" s="205" t="s">
        <v>857</v>
      </c>
      <c r="Y4" s="203" t="s">
        <v>743</v>
      </c>
      <c r="Z4" s="204" t="s">
        <v>6</v>
      </c>
      <c r="AA4" s="203"/>
      <c r="AD4" s="203"/>
    </row>
    <row r="5" spans="1:33" x14ac:dyDescent="0.25">
      <c r="A5" s="213" t="s">
        <v>10</v>
      </c>
      <c r="B5" s="213" t="s">
        <v>4</v>
      </c>
      <c r="C5" s="210" t="s">
        <v>679</v>
      </c>
      <c r="D5" s="201" t="s">
        <v>746</v>
      </c>
      <c r="F5" s="204" t="s">
        <v>10</v>
      </c>
      <c r="G5" s="203" t="s">
        <v>743</v>
      </c>
      <c r="H5" s="205" t="s">
        <v>798</v>
      </c>
      <c r="I5" s="205" t="s">
        <v>799</v>
      </c>
      <c r="J5" s="203" t="s">
        <v>743</v>
      </c>
      <c r="K5" s="204" t="s">
        <v>728</v>
      </c>
      <c r="L5" s="203" t="s">
        <v>743</v>
      </c>
      <c r="M5" s="205" t="s">
        <v>835</v>
      </c>
      <c r="N5" s="205" t="s">
        <v>836</v>
      </c>
      <c r="O5" s="203" t="s">
        <v>743</v>
      </c>
      <c r="P5" s="204" t="s">
        <v>727</v>
      </c>
      <c r="Q5" s="203" t="s">
        <v>743</v>
      </c>
      <c r="R5" s="205" t="s">
        <v>524</v>
      </c>
      <c r="S5" s="205" t="s">
        <v>797</v>
      </c>
      <c r="T5" s="203" t="s">
        <v>743</v>
      </c>
      <c r="U5" s="204" t="s">
        <v>4</v>
      </c>
      <c r="V5" s="202"/>
      <c r="AA5" s="202"/>
    </row>
    <row r="6" spans="1:33" x14ac:dyDescent="0.25">
      <c r="A6" s="214" t="s">
        <v>4</v>
      </c>
      <c r="B6" s="214" t="s">
        <v>522</v>
      </c>
      <c r="C6" s="210" t="s">
        <v>680</v>
      </c>
      <c r="D6" s="201" t="s">
        <v>747</v>
      </c>
      <c r="E6" s="189"/>
      <c r="F6" s="204" t="s">
        <v>4</v>
      </c>
      <c r="G6" s="203" t="s">
        <v>743</v>
      </c>
      <c r="H6" s="205" t="s">
        <v>524</v>
      </c>
      <c r="I6" s="205" t="s">
        <v>525</v>
      </c>
      <c r="J6" s="203" t="s">
        <v>743</v>
      </c>
      <c r="K6" s="204" t="s">
        <v>526</v>
      </c>
      <c r="L6" s="203" t="s">
        <v>743</v>
      </c>
      <c r="M6" s="205" t="s">
        <v>527</v>
      </c>
      <c r="N6" s="205" t="s">
        <v>528</v>
      </c>
      <c r="O6" s="203" t="s">
        <v>743</v>
      </c>
      <c r="P6" s="204" t="s">
        <v>522</v>
      </c>
      <c r="Q6" s="176"/>
      <c r="T6" s="206"/>
    </row>
    <row r="7" spans="1:33" x14ac:dyDescent="0.25">
      <c r="A7" s="214" t="s">
        <v>522</v>
      </c>
      <c r="B7" s="214" t="s">
        <v>4</v>
      </c>
      <c r="C7" s="210" t="s">
        <v>680</v>
      </c>
      <c r="D7" s="201" t="s">
        <v>748</v>
      </c>
      <c r="E7" s="189"/>
      <c r="F7" s="204" t="s">
        <v>522</v>
      </c>
      <c r="G7" s="203" t="s">
        <v>743</v>
      </c>
      <c r="H7" s="205" t="s">
        <v>527</v>
      </c>
      <c r="I7" s="205" t="s">
        <v>528</v>
      </c>
      <c r="J7" s="203" t="s">
        <v>743</v>
      </c>
      <c r="K7" s="204" t="s">
        <v>526</v>
      </c>
      <c r="L7" s="203" t="s">
        <v>743</v>
      </c>
      <c r="M7" s="205" t="s">
        <v>524</v>
      </c>
      <c r="N7" s="205" t="s">
        <v>525</v>
      </c>
      <c r="O7" s="203" t="s">
        <v>743</v>
      </c>
      <c r="P7" s="204" t="s">
        <v>4</v>
      </c>
      <c r="Q7" s="176"/>
      <c r="T7" s="206"/>
    </row>
    <row r="8" spans="1:33" x14ac:dyDescent="0.25">
      <c r="A8" s="214" t="s">
        <v>15</v>
      </c>
      <c r="B8" s="214" t="s">
        <v>4</v>
      </c>
      <c r="C8" s="210" t="s">
        <v>681</v>
      </c>
      <c r="D8" s="201" t="s">
        <v>749</v>
      </c>
      <c r="E8" s="189"/>
      <c r="F8" s="204" t="s">
        <v>15</v>
      </c>
      <c r="G8" s="203" t="s">
        <v>743</v>
      </c>
      <c r="H8" s="205" t="s">
        <v>532</v>
      </c>
      <c r="I8" s="205" t="s">
        <v>533</v>
      </c>
      <c r="J8" s="203" t="s">
        <v>743</v>
      </c>
      <c r="K8" s="204" t="s">
        <v>531</v>
      </c>
      <c r="L8" s="203" t="s">
        <v>743</v>
      </c>
      <c r="M8" s="205" t="s">
        <v>529</v>
      </c>
      <c r="N8" s="205" t="s">
        <v>530</v>
      </c>
      <c r="O8" s="203" t="s">
        <v>743</v>
      </c>
      <c r="P8" s="204" t="s">
        <v>522</v>
      </c>
      <c r="Q8" s="203" t="s">
        <v>743</v>
      </c>
      <c r="R8" s="205" t="s">
        <v>527</v>
      </c>
      <c r="S8" s="205" t="s">
        <v>528</v>
      </c>
      <c r="T8" s="203" t="s">
        <v>743</v>
      </c>
      <c r="U8" s="204" t="s">
        <v>526</v>
      </c>
      <c r="V8" s="203" t="s">
        <v>743</v>
      </c>
      <c r="W8" s="205" t="s">
        <v>524</v>
      </c>
      <c r="X8" s="205" t="s">
        <v>525</v>
      </c>
      <c r="Y8" s="203" t="s">
        <v>743</v>
      </c>
      <c r="Z8" s="204" t="s">
        <v>4</v>
      </c>
      <c r="AA8" s="203"/>
      <c r="AD8" s="203"/>
    </row>
    <row r="9" spans="1:33" x14ac:dyDescent="0.25">
      <c r="A9" s="214" t="s">
        <v>4</v>
      </c>
      <c r="B9" s="214" t="s">
        <v>15</v>
      </c>
      <c r="C9" s="210" t="s">
        <v>681</v>
      </c>
      <c r="D9" s="201" t="s">
        <v>750</v>
      </c>
      <c r="E9" s="189"/>
      <c r="F9" s="204" t="s">
        <v>4</v>
      </c>
      <c r="G9" s="203" t="s">
        <v>743</v>
      </c>
      <c r="H9" s="205" t="s">
        <v>524</v>
      </c>
      <c r="I9" s="205" t="s">
        <v>525</v>
      </c>
      <c r="J9" s="203" t="s">
        <v>743</v>
      </c>
      <c r="K9" s="204" t="s">
        <v>526</v>
      </c>
      <c r="L9" s="203" t="s">
        <v>743</v>
      </c>
      <c r="M9" s="205" t="s">
        <v>527</v>
      </c>
      <c r="N9" s="205" t="s">
        <v>528</v>
      </c>
      <c r="O9" s="203" t="s">
        <v>743</v>
      </c>
      <c r="P9" s="204" t="s">
        <v>522</v>
      </c>
      <c r="Q9" s="203" t="s">
        <v>743</v>
      </c>
      <c r="R9" s="205" t="s">
        <v>529</v>
      </c>
      <c r="S9" s="205" t="s">
        <v>530</v>
      </c>
      <c r="T9" s="203" t="s">
        <v>743</v>
      </c>
      <c r="U9" s="204" t="s">
        <v>531</v>
      </c>
      <c r="V9" s="203" t="s">
        <v>743</v>
      </c>
      <c r="W9" s="205" t="s">
        <v>532</v>
      </c>
      <c r="X9" s="205" t="s">
        <v>533</v>
      </c>
      <c r="Y9" s="203" t="s">
        <v>743</v>
      </c>
      <c r="Z9" s="204" t="s">
        <v>15</v>
      </c>
      <c r="AA9" s="202"/>
    </row>
    <row r="10" spans="1:33" x14ac:dyDescent="0.25">
      <c r="A10" s="214" t="s">
        <v>15</v>
      </c>
      <c r="B10" s="214" t="s">
        <v>4</v>
      </c>
      <c r="C10" s="210" t="s">
        <v>681</v>
      </c>
      <c r="D10" s="201" t="s">
        <v>749</v>
      </c>
      <c r="E10" s="189"/>
      <c r="F10" s="204" t="s">
        <v>15</v>
      </c>
      <c r="G10" s="203" t="s">
        <v>743</v>
      </c>
      <c r="H10" s="205" t="s">
        <v>532</v>
      </c>
      <c r="I10" s="205" t="s">
        <v>533</v>
      </c>
      <c r="J10" s="203" t="s">
        <v>743</v>
      </c>
      <c r="K10" s="204" t="s">
        <v>531</v>
      </c>
      <c r="L10" s="203" t="s">
        <v>743</v>
      </c>
      <c r="M10" s="205" t="s">
        <v>529</v>
      </c>
      <c r="N10" s="205" t="s">
        <v>530</v>
      </c>
      <c r="O10" s="203" t="s">
        <v>743</v>
      </c>
      <c r="P10" s="204" t="s">
        <v>522</v>
      </c>
      <c r="Q10" s="203" t="s">
        <v>743</v>
      </c>
      <c r="R10" s="205" t="s">
        <v>527</v>
      </c>
      <c r="S10" s="205" t="s">
        <v>528</v>
      </c>
      <c r="T10" s="203" t="s">
        <v>743</v>
      </c>
      <c r="U10" s="204" t="s">
        <v>526</v>
      </c>
      <c r="V10" s="203" t="s">
        <v>743</v>
      </c>
      <c r="W10" s="205" t="s">
        <v>524</v>
      </c>
      <c r="X10" s="205" t="s">
        <v>525</v>
      </c>
      <c r="Y10" s="203" t="s">
        <v>743</v>
      </c>
      <c r="Z10" s="204" t="s">
        <v>4</v>
      </c>
      <c r="AA10" s="202"/>
    </row>
    <row r="11" spans="1:33" x14ac:dyDescent="0.25">
      <c r="A11" s="214" t="s">
        <v>4</v>
      </c>
      <c r="B11" s="214" t="s">
        <v>15</v>
      </c>
      <c r="C11" s="210" t="s">
        <v>681</v>
      </c>
      <c r="D11" s="201" t="s">
        <v>750</v>
      </c>
      <c r="E11" s="189"/>
      <c r="F11" s="204" t="s">
        <v>4</v>
      </c>
      <c r="G11" s="203" t="s">
        <v>743</v>
      </c>
      <c r="H11" s="205" t="s">
        <v>524</v>
      </c>
      <c r="I11" s="205" t="s">
        <v>525</v>
      </c>
      <c r="J11" s="203" t="s">
        <v>743</v>
      </c>
      <c r="K11" s="204" t="s">
        <v>526</v>
      </c>
      <c r="L11" s="203" t="s">
        <v>743</v>
      </c>
      <c r="M11" s="205" t="s">
        <v>527</v>
      </c>
      <c r="N11" s="205" t="s">
        <v>528</v>
      </c>
      <c r="O11" s="203" t="s">
        <v>743</v>
      </c>
      <c r="P11" s="204" t="s">
        <v>522</v>
      </c>
      <c r="Q11" s="203" t="s">
        <v>743</v>
      </c>
      <c r="R11" s="205" t="s">
        <v>529</v>
      </c>
      <c r="S11" s="205" t="s">
        <v>530</v>
      </c>
      <c r="T11" s="203" t="s">
        <v>743</v>
      </c>
      <c r="U11" s="204" t="s">
        <v>531</v>
      </c>
      <c r="V11" s="203" t="s">
        <v>743</v>
      </c>
      <c r="W11" s="205" t="s">
        <v>532</v>
      </c>
      <c r="X11" s="205" t="s">
        <v>533</v>
      </c>
      <c r="Y11" s="203" t="s">
        <v>743</v>
      </c>
      <c r="Z11" s="204" t="s">
        <v>15</v>
      </c>
      <c r="AA11" s="202"/>
    </row>
    <row r="12" spans="1:33" x14ac:dyDescent="0.25">
      <c r="A12" s="214" t="s">
        <v>15</v>
      </c>
      <c r="B12" s="214" t="s">
        <v>4</v>
      </c>
      <c r="C12" s="210" t="s">
        <v>681</v>
      </c>
      <c r="D12" s="201" t="s">
        <v>749</v>
      </c>
      <c r="E12" s="189"/>
      <c r="F12" s="204" t="s">
        <v>15</v>
      </c>
      <c r="G12" s="203" t="s">
        <v>743</v>
      </c>
      <c r="H12" s="205" t="s">
        <v>532</v>
      </c>
      <c r="I12" s="205" t="s">
        <v>533</v>
      </c>
      <c r="J12" s="203" t="s">
        <v>743</v>
      </c>
      <c r="K12" s="204" t="s">
        <v>531</v>
      </c>
      <c r="L12" s="203" t="s">
        <v>743</v>
      </c>
      <c r="M12" s="205" t="s">
        <v>529</v>
      </c>
      <c r="N12" s="205" t="s">
        <v>530</v>
      </c>
      <c r="O12" s="203" t="s">
        <v>743</v>
      </c>
      <c r="P12" s="204" t="s">
        <v>522</v>
      </c>
      <c r="Q12" s="203" t="s">
        <v>743</v>
      </c>
      <c r="R12" s="205" t="s">
        <v>527</v>
      </c>
      <c r="S12" s="205" t="s">
        <v>528</v>
      </c>
      <c r="T12" s="203" t="s">
        <v>743</v>
      </c>
      <c r="U12" s="204" t="s">
        <v>526</v>
      </c>
      <c r="V12" s="203" t="s">
        <v>743</v>
      </c>
      <c r="W12" s="205" t="s">
        <v>524</v>
      </c>
      <c r="X12" s="205" t="s">
        <v>525</v>
      </c>
      <c r="Y12" s="203" t="s">
        <v>743</v>
      </c>
      <c r="Z12" s="204" t="s">
        <v>4</v>
      </c>
      <c r="AA12" s="202"/>
    </row>
    <row r="13" spans="1:33" x14ac:dyDescent="0.25">
      <c r="A13" s="214" t="s">
        <v>15</v>
      </c>
      <c r="B13" s="214" t="s">
        <v>4</v>
      </c>
      <c r="C13" s="210" t="s">
        <v>681</v>
      </c>
      <c r="D13" s="201" t="s">
        <v>749</v>
      </c>
      <c r="E13" s="189"/>
      <c r="F13" s="204" t="s">
        <v>15</v>
      </c>
      <c r="G13" s="203" t="s">
        <v>743</v>
      </c>
      <c r="H13" s="205" t="s">
        <v>532</v>
      </c>
      <c r="I13" s="205" t="s">
        <v>533</v>
      </c>
      <c r="J13" s="203" t="s">
        <v>743</v>
      </c>
      <c r="K13" s="204" t="s">
        <v>531</v>
      </c>
      <c r="L13" s="203" t="s">
        <v>743</v>
      </c>
      <c r="M13" s="205" t="s">
        <v>529</v>
      </c>
      <c r="N13" s="205" t="s">
        <v>530</v>
      </c>
      <c r="O13" s="203" t="s">
        <v>743</v>
      </c>
      <c r="P13" s="204" t="s">
        <v>522</v>
      </c>
      <c r="Q13" s="203" t="s">
        <v>743</v>
      </c>
      <c r="R13" s="205" t="s">
        <v>527</v>
      </c>
      <c r="S13" s="205" t="s">
        <v>528</v>
      </c>
      <c r="T13" s="203" t="s">
        <v>743</v>
      </c>
      <c r="U13" s="204" t="s">
        <v>526</v>
      </c>
      <c r="V13" s="203" t="s">
        <v>743</v>
      </c>
      <c r="W13" s="205" t="s">
        <v>524</v>
      </c>
      <c r="X13" s="205" t="s">
        <v>525</v>
      </c>
      <c r="Y13" s="203" t="s">
        <v>743</v>
      </c>
      <c r="Z13" s="204" t="s">
        <v>4</v>
      </c>
      <c r="AA13" s="202"/>
    </row>
    <row r="14" spans="1:33" x14ac:dyDescent="0.25">
      <c r="A14" s="214" t="s">
        <v>4</v>
      </c>
      <c r="B14" s="214" t="s">
        <v>15</v>
      </c>
      <c r="C14" s="210" t="s">
        <v>681</v>
      </c>
      <c r="D14" s="201" t="s">
        <v>750</v>
      </c>
      <c r="E14" s="189"/>
      <c r="F14" s="204" t="s">
        <v>4</v>
      </c>
      <c r="G14" s="203" t="s">
        <v>743</v>
      </c>
      <c r="H14" s="205" t="s">
        <v>524</v>
      </c>
      <c r="I14" s="205" t="s">
        <v>525</v>
      </c>
      <c r="J14" s="203" t="s">
        <v>743</v>
      </c>
      <c r="K14" s="204" t="s">
        <v>526</v>
      </c>
      <c r="L14" s="203" t="s">
        <v>743</v>
      </c>
      <c r="M14" s="205" t="s">
        <v>527</v>
      </c>
      <c r="N14" s="205" t="s">
        <v>528</v>
      </c>
      <c r="O14" s="203" t="s">
        <v>743</v>
      </c>
      <c r="P14" s="204" t="s">
        <v>522</v>
      </c>
      <c r="Q14" s="203" t="s">
        <v>743</v>
      </c>
      <c r="R14" s="205" t="s">
        <v>529</v>
      </c>
      <c r="S14" s="205" t="s">
        <v>530</v>
      </c>
      <c r="T14" s="203" t="s">
        <v>743</v>
      </c>
      <c r="U14" s="204" t="s">
        <v>531</v>
      </c>
      <c r="V14" s="203" t="s">
        <v>743</v>
      </c>
      <c r="W14" s="205" t="s">
        <v>532</v>
      </c>
      <c r="X14" s="205" t="s">
        <v>533</v>
      </c>
      <c r="Y14" s="203" t="s">
        <v>743</v>
      </c>
      <c r="Z14" s="204" t="s">
        <v>15</v>
      </c>
      <c r="AA14" s="202"/>
    </row>
    <row r="15" spans="1:33" x14ac:dyDescent="0.25">
      <c r="A15" s="213" t="s">
        <v>15</v>
      </c>
      <c r="B15" s="213" t="s">
        <v>523</v>
      </c>
      <c r="C15" s="210" t="s">
        <v>682</v>
      </c>
      <c r="D15" s="201" t="s">
        <v>751</v>
      </c>
      <c r="F15" s="204" t="s">
        <v>15</v>
      </c>
      <c r="G15" s="203" t="s">
        <v>743</v>
      </c>
      <c r="H15" s="205" t="s">
        <v>798</v>
      </c>
      <c r="I15" s="205" t="s">
        <v>702</v>
      </c>
      <c r="J15" s="203" t="s">
        <v>743</v>
      </c>
      <c r="K15" s="204" t="s">
        <v>238</v>
      </c>
      <c r="L15" s="203"/>
      <c r="O15" s="176"/>
      <c r="Q15" s="206"/>
      <c r="T15" s="206"/>
      <c r="AA15" s="202"/>
    </row>
    <row r="16" spans="1:33" x14ac:dyDescent="0.25">
      <c r="A16" s="214" t="s">
        <v>23</v>
      </c>
      <c r="B16" s="214" t="s">
        <v>25</v>
      </c>
      <c r="C16" s="210" t="s">
        <v>683</v>
      </c>
      <c r="D16" s="201" t="s">
        <v>752</v>
      </c>
      <c r="E16" s="189"/>
      <c r="F16" s="204" t="s">
        <v>23</v>
      </c>
      <c r="G16" s="203" t="s">
        <v>743</v>
      </c>
      <c r="H16" s="205" t="s">
        <v>800</v>
      </c>
      <c r="I16" s="205" t="s">
        <v>683</v>
      </c>
      <c r="J16" s="203" t="s">
        <v>743</v>
      </c>
      <c r="K16" s="204" t="s">
        <v>25</v>
      </c>
      <c r="L16" s="203"/>
      <c r="O16" s="176"/>
      <c r="Q16" s="206"/>
      <c r="T16" s="206"/>
      <c r="AA16" s="202"/>
    </row>
    <row r="17" spans="1:30" x14ac:dyDescent="0.25">
      <c r="A17" s="214" t="s">
        <v>25</v>
      </c>
      <c r="B17" s="214" t="s">
        <v>32</v>
      </c>
      <c r="C17" s="210" t="s">
        <v>684</v>
      </c>
      <c r="D17" s="201" t="s">
        <v>753</v>
      </c>
      <c r="E17" s="189"/>
      <c r="F17" s="204" t="s">
        <v>25</v>
      </c>
      <c r="G17" s="203" t="s">
        <v>743</v>
      </c>
      <c r="H17" s="205" t="s">
        <v>800</v>
      </c>
      <c r="I17" s="205" t="s">
        <v>684</v>
      </c>
      <c r="J17" s="203" t="s">
        <v>743</v>
      </c>
      <c r="K17" s="204" t="s">
        <v>32</v>
      </c>
      <c r="L17" s="203"/>
      <c r="O17" s="176"/>
      <c r="Q17" s="206"/>
      <c r="T17" s="206"/>
      <c r="AA17" s="202"/>
    </row>
    <row r="18" spans="1:30" x14ac:dyDescent="0.25">
      <c r="A18" s="214" t="s">
        <v>25</v>
      </c>
      <c r="B18" s="214" t="s">
        <v>35</v>
      </c>
      <c r="C18" s="210" t="s">
        <v>685</v>
      </c>
      <c r="D18" s="201" t="s">
        <v>754</v>
      </c>
      <c r="E18" s="189"/>
      <c r="F18" s="204" t="s">
        <v>25</v>
      </c>
      <c r="G18" s="203" t="s">
        <v>743</v>
      </c>
      <c r="H18" s="205" t="s">
        <v>827</v>
      </c>
      <c r="I18" s="205" t="s">
        <v>685</v>
      </c>
      <c r="J18" s="203" t="s">
        <v>743</v>
      </c>
      <c r="K18" s="204" t="s">
        <v>35</v>
      </c>
      <c r="L18" s="203"/>
      <c r="O18" s="176"/>
      <c r="Q18" s="206"/>
      <c r="T18" s="206"/>
      <c r="AA18" s="202"/>
    </row>
    <row r="19" spans="1:30" x14ac:dyDescent="0.25">
      <c r="A19" s="214" t="s">
        <v>35</v>
      </c>
      <c r="B19" s="214" t="s">
        <v>37</v>
      </c>
      <c r="C19" s="210" t="s">
        <v>686</v>
      </c>
      <c r="D19" s="201" t="s">
        <v>755</v>
      </c>
      <c r="E19" s="189"/>
      <c r="F19" s="204" t="s">
        <v>35</v>
      </c>
      <c r="G19" s="203" t="s">
        <v>743</v>
      </c>
      <c r="H19" s="205" t="s">
        <v>801</v>
      </c>
      <c r="I19" s="205" t="s">
        <v>802</v>
      </c>
      <c r="J19" s="203" t="s">
        <v>743</v>
      </c>
      <c r="K19" s="204" t="s">
        <v>730</v>
      </c>
      <c r="L19" s="203" t="s">
        <v>743</v>
      </c>
      <c r="M19" s="205" t="s">
        <v>800</v>
      </c>
      <c r="N19" s="205" t="s">
        <v>837</v>
      </c>
      <c r="O19" s="203" t="s">
        <v>743</v>
      </c>
      <c r="P19" s="204" t="s">
        <v>731</v>
      </c>
      <c r="Q19" s="203" t="s">
        <v>743</v>
      </c>
      <c r="R19" s="205" t="s">
        <v>801</v>
      </c>
      <c r="S19" s="205" t="s">
        <v>852</v>
      </c>
      <c r="T19" s="203" t="s">
        <v>743</v>
      </c>
      <c r="U19" s="204" t="s">
        <v>37</v>
      </c>
      <c r="V19" s="202"/>
      <c r="AA19" s="202"/>
    </row>
    <row r="20" spans="1:30" x14ac:dyDescent="0.25">
      <c r="A20" s="214" t="s">
        <v>15</v>
      </c>
      <c r="B20" s="214" t="s">
        <v>28</v>
      </c>
      <c r="C20" s="210" t="s">
        <v>687</v>
      </c>
      <c r="D20" s="201" t="s">
        <v>756</v>
      </c>
      <c r="E20" s="189"/>
      <c r="F20" s="204" t="s">
        <v>15</v>
      </c>
      <c r="G20" s="203" t="s">
        <v>743</v>
      </c>
      <c r="H20" s="205" t="s">
        <v>532</v>
      </c>
      <c r="I20" s="205" t="s">
        <v>708</v>
      </c>
      <c r="J20" s="203" t="s">
        <v>743</v>
      </c>
      <c r="K20" s="204" t="s">
        <v>66</v>
      </c>
      <c r="L20" s="203" t="s">
        <v>743</v>
      </c>
      <c r="M20" s="205" t="s">
        <v>828</v>
      </c>
      <c r="N20" s="205" t="s">
        <v>830</v>
      </c>
      <c r="O20" s="203" t="s">
        <v>743</v>
      </c>
      <c r="P20" s="204" t="s">
        <v>28</v>
      </c>
      <c r="Q20" s="176"/>
      <c r="T20" s="206"/>
    </row>
    <row r="21" spans="1:30" x14ac:dyDescent="0.25">
      <c r="A21" s="214" t="s">
        <v>28</v>
      </c>
      <c r="B21" s="214" t="s">
        <v>15</v>
      </c>
      <c r="C21" s="210" t="s">
        <v>687</v>
      </c>
      <c r="D21" s="201" t="s">
        <v>757</v>
      </c>
      <c r="E21" s="189"/>
      <c r="F21" s="204" t="s">
        <v>28</v>
      </c>
      <c r="G21" s="203" t="s">
        <v>743</v>
      </c>
      <c r="H21" s="205" t="s">
        <v>829</v>
      </c>
      <c r="I21" s="205" t="s">
        <v>831</v>
      </c>
      <c r="J21" s="203" t="s">
        <v>743</v>
      </c>
      <c r="K21" s="204" t="s">
        <v>66</v>
      </c>
      <c r="L21" s="203" t="s">
        <v>743</v>
      </c>
      <c r="M21" s="205" t="s">
        <v>532</v>
      </c>
      <c r="N21" s="205" t="s">
        <v>708</v>
      </c>
      <c r="O21" s="203" t="s">
        <v>743</v>
      </c>
      <c r="P21" s="204" t="s">
        <v>15</v>
      </c>
      <c r="Q21" s="176"/>
      <c r="T21" s="206"/>
    </row>
    <row r="22" spans="1:30" x14ac:dyDescent="0.25">
      <c r="A22" s="214" t="s">
        <v>15</v>
      </c>
      <c r="B22" s="214" t="s">
        <v>4</v>
      </c>
      <c r="C22" s="210" t="s">
        <v>681</v>
      </c>
      <c r="D22" s="201" t="s">
        <v>749</v>
      </c>
      <c r="E22" s="189"/>
      <c r="F22" s="204" t="s">
        <v>15</v>
      </c>
      <c r="G22" s="203" t="s">
        <v>743</v>
      </c>
      <c r="H22" s="205" t="s">
        <v>532</v>
      </c>
      <c r="I22" s="205" t="s">
        <v>533</v>
      </c>
      <c r="J22" s="203" t="s">
        <v>743</v>
      </c>
      <c r="K22" s="204" t="s">
        <v>531</v>
      </c>
      <c r="L22" s="203" t="s">
        <v>743</v>
      </c>
      <c r="M22" s="205" t="s">
        <v>529</v>
      </c>
      <c r="N22" s="205" t="s">
        <v>530</v>
      </c>
      <c r="O22" s="203" t="s">
        <v>743</v>
      </c>
      <c r="P22" s="204" t="s">
        <v>522</v>
      </c>
      <c r="Q22" s="203" t="s">
        <v>743</v>
      </c>
      <c r="R22" s="205" t="s">
        <v>527</v>
      </c>
      <c r="S22" s="205" t="s">
        <v>528</v>
      </c>
      <c r="T22" s="203" t="s">
        <v>743</v>
      </c>
      <c r="U22" s="204" t="s">
        <v>526</v>
      </c>
      <c r="V22" s="203" t="s">
        <v>743</v>
      </c>
      <c r="W22" s="205" t="s">
        <v>524</v>
      </c>
      <c r="X22" s="205" t="s">
        <v>525</v>
      </c>
      <c r="Y22" s="203" t="s">
        <v>743</v>
      </c>
      <c r="Z22" s="204" t="s">
        <v>4</v>
      </c>
      <c r="AA22" s="203"/>
      <c r="AD22" s="203"/>
    </row>
    <row r="23" spans="1:30" x14ac:dyDescent="0.25">
      <c r="A23" s="214" t="s">
        <v>4</v>
      </c>
      <c r="B23" s="214" t="s">
        <v>39</v>
      </c>
      <c r="C23" s="210" t="s">
        <v>688</v>
      </c>
      <c r="D23" s="201" t="s">
        <v>758</v>
      </c>
      <c r="E23" s="189"/>
      <c r="F23" s="204" t="s">
        <v>4</v>
      </c>
      <c r="G23" s="203" t="s">
        <v>743</v>
      </c>
      <c r="H23" s="205" t="s">
        <v>524</v>
      </c>
      <c r="I23" s="205" t="s">
        <v>688</v>
      </c>
      <c r="J23" s="203" t="s">
        <v>743</v>
      </c>
      <c r="K23" s="204" t="s">
        <v>39</v>
      </c>
      <c r="L23" s="203"/>
      <c r="O23" s="206"/>
      <c r="Q23" s="206"/>
      <c r="T23" s="206"/>
    </row>
    <row r="24" spans="1:30" x14ac:dyDescent="0.25">
      <c r="A24" s="214" t="s">
        <v>39</v>
      </c>
      <c r="B24" s="214" t="s">
        <v>42</v>
      </c>
      <c r="C24" s="210" t="s">
        <v>689</v>
      </c>
      <c r="D24" s="201" t="s">
        <v>759</v>
      </c>
      <c r="E24" s="189"/>
      <c r="F24" s="204" t="s">
        <v>39</v>
      </c>
      <c r="G24" s="203" t="s">
        <v>743</v>
      </c>
      <c r="H24" s="205" t="s">
        <v>803</v>
      </c>
      <c r="I24" s="205" t="s">
        <v>689</v>
      </c>
      <c r="J24" s="203" t="s">
        <v>743</v>
      </c>
      <c r="K24" s="204" t="s">
        <v>42</v>
      </c>
      <c r="L24" s="203"/>
      <c r="O24" s="206"/>
      <c r="Q24" s="206"/>
      <c r="T24" s="206"/>
    </row>
    <row r="25" spans="1:30" x14ac:dyDescent="0.25">
      <c r="A25" s="214" t="s">
        <v>47</v>
      </c>
      <c r="B25" s="214" t="s">
        <v>49</v>
      </c>
      <c r="C25" s="210" t="s">
        <v>690</v>
      </c>
      <c r="D25" s="201" t="s">
        <v>760</v>
      </c>
      <c r="E25" s="189"/>
      <c r="F25" s="204" t="s">
        <v>47</v>
      </c>
      <c r="G25" s="203" t="s">
        <v>743</v>
      </c>
      <c r="H25" s="205" t="s">
        <v>826</v>
      </c>
      <c r="I25" s="205" t="s">
        <v>690</v>
      </c>
      <c r="J25" s="203" t="s">
        <v>743</v>
      </c>
      <c r="K25" s="204" t="s">
        <v>49</v>
      </c>
      <c r="L25" s="203"/>
      <c r="O25" s="206"/>
      <c r="Q25" s="206"/>
      <c r="T25" s="206"/>
    </row>
    <row r="26" spans="1:30" x14ac:dyDescent="0.25">
      <c r="A26" s="214" t="s">
        <v>49</v>
      </c>
      <c r="B26" s="214" t="s">
        <v>15</v>
      </c>
      <c r="C26" s="210" t="s">
        <v>691</v>
      </c>
      <c r="D26" s="201" t="s">
        <v>761</v>
      </c>
      <c r="E26" s="189"/>
      <c r="F26" s="204" t="s">
        <v>49</v>
      </c>
      <c r="G26" s="203" t="s">
        <v>743</v>
      </c>
      <c r="H26" s="205" t="s">
        <v>804</v>
      </c>
      <c r="I26" s="205" t="s">
        <v>805</v>
      </c>
      <c r="J26" s="203" t="s">
        <v>743</v>
      </c>
      <c r="K26" s="204" t="s">
        <v>732</v>
      </c>
      <c r="L26" s="203" t="s">
        <v>743</v>
      </c>
      <c r="M26" s="205" t="s">
        <v>815</v>
      </c>
      <c r="N26" s="205" t="s">
        <v>838</v>
      </c>
      <c r="O26" s="203" t="s">
        <v>743</v>
      </c>
      <c r="P26" s="204" t="s">
        <v>66</v>
      </c>
      <c r="Q26" s="203" t="s">
        <v>743</v>
      </c>
      <c r="R26" s="205" t="s">
        <v>532</v>
      </c>
      <c r="S26" s="205" t="s">
        <v>708</v>
      </c>
      <c r="T26" s="203" t="s">
        <v>743</v>
      </c>
      <c r="U26" s="204" t="s">
        <v>15</v>
      </c>
      <c r="V26" s="202"/>
      <c r="AA26" s="202"/>
    </row>
    <row r="27" spans="1:30" x14ac:dyDescent="0.25">
      <c r="A27" s="214" t="s">
        <v>15</v>
      </c>
      <c r="B27" s="214" t="s">
        <v>4</v>
      </c>
      <c r="C27" s="210" t="s">
        <v>681</v>
      </c>
      <c r="D27" s="201" t="s">
        <v>749</v>
      </c>
      <c r="E27" s="189"/>
      <c r="F27" s="204" t="s">
        <v>15</v>
      </c>
      <c r="G27" s="203" t="s">
        <v>743</v>
      </c>
      <c r="H27" s="205" t="s">
        <v>532</v>
      </c>
      <c r="I27" s="205" t="s">
        <v>533</v>
      </c>
      <c r="J27" s="203" t="s">
        <v>743</v>
      </c>
      <c r="K27" s="204" t="s">
        <v>531</v>
      </c>
      <c r="L27" s="203" t="s">
        <v>743</v>
      </c>
      <c r="M27" s="205" t="s">
        <v>529</v>
      </c>
      <c r="N27" s="205" t="s">
        <v>530</v>
      </c>
      <c r="O27" s="203" t="s">
        <v>743</v>
      </c>
      <c r="P27" s="204" t="s">
        <v>522</v>
      </c>
      <c r="Q27" s="203" t="s">
        <v>743</v>
      </c>
      <c r="R27" s="205" t="s">
        <v>527</v>
      </c>
      <c r="S27" s="205" t="s">
        <v>528</v>
      </c>
      <c r="T27" s="203" t="s">
        <v>743</v>
      </c>
      <c r="U27" s="204" t="s">
        <v>526</v>
      </c>
      <c r="V27" s="203" t="s">
        <v>743</v>
      </c>
      <c r="W27" s="205" t="s">
        <v>524</v>
      </c>
      <c r="X27" s="205" t="s">
        <v>525</v>
      </c>
      <c r="Y27" s="203" t="s">
        <v>743</v>
      </c>
      <c r="Z27" s="204" t="s">
        <v>4</v>
      </c>
      <c r="AA27" s="203"/>
      <c r="AD27" s="203"/>
    </row>
    <row r="28" spans="1:30" x14ac:dyDescent="0.25">
      <c r="A28" s="214" t="s">
        <v>4</v>
      </c>
      <c r="B28" s="214" t="s">
        <v>15</v>
      </c>
      <c r="C28" s="210" t="s">
        <v>681</v>
      </c>
      <c r="D28" s="201" t="s">
        <v>750</v>
      </c>
      <c r="E28" s="189"/>
      <c r="F28" s="204" t="s">
        <v>4</v>
      </c>
      <c r="G28" s="203" t="s">
        <v>743</v>
      </c>
      <c r="H28" s="205" t="s">
        <v>524</v>
      </c>
      <c r="I28" s="205" t="s">
        <v>525</v>
      </c>
      <c r="J28" s="203" t="s">
        <v>743</v>
      </c>
      <c r="K28" s="204" t="s">
        <v>526</v>
      </c>
      <c r="L28" s="203" t="s">
        <v>743</v>
      </c>
      <c r="M28" s="205" t="s">
        <v>527</v>
      </c>
      <c r="N28" s="205" t="s">
        <v>528</v>
      </c>
      <c r="O28" s="203" t="s">
        <v>743</v>
      </c>
      <c r="P28" s="204" t="s">
        <v>522</v>
      </c>
      <c r="Q28" s="203" t="s">
        <v>743</v>
      </c>
      <c r="R28" s="205" t="s">
        <v>529</v>
      </c>
      <c r="S28" s="205" t="s">
        <v>530</v>
      </c>
      <c r="T28" s="203" t="s">
        <v>743</v>
      </c>
      <c r="U28" s="204" t="s">
        <v>531</v>
      </c>
      <c r="V28" s="203" t="s">
        <v>743</v>
      </c>
      <c r="W28" s="205" t="s">
        <v>532</v>
      </c>
      <c r="X28" s="205" t="s">
        <v>533</v>
      </c>
      <c r="Y28" s="203" t="s">
        <v>743</v>
      </c>
      <c r="Z28" s="204" t="s">
        <v>15</v>
      </c>
      <c r="AA28" s="202"/>
    </row>
    <row r="29" spans="1:30" x14ac:dyDescent="0.25">
      <c r="A29" s="214" t="s">
        <v>15</v>
      </c>
      <c r="B29" s="214" t="s">
        <v>4</v>
      </c>
      <c r="C29" s="210" t="s">
        <v>681</v>
      </c>
      <c r="D29" s="201" t="s">
        <v>749</v>
      </c>
      <c r="E29" s="189"/>
      <c r="F29" s="204" t="s">
        <v>15</v>
      </c>
      <c r="G29" s="203" t="s">
        <v>743</v>
      </c>
      <c r="H29" s="205" t="s">
        <v>532</v>
      </c>
      <c r="I29" s="205" t="s">
        <v>533</v>
      </c>
      <c r="J29" s="203" t="s">
        <v>743</v>
      </c>
      <c r="K29" s="204" t="s">
        <v>531</v>
      </c>
      <c r="L29" s="203" t="s">
        <v>743</v>
      </c>
      <c r="M29" s="205" t="s">
        <v>529</v>
      </c>
      <c r="N29" s="205" t="s">
        <v>530</v>
      </c>
      <c r="O29" s="203" t="s">
        <v>743</v>
      </c>
      <c r="P29" s="204" t="s">
        <v>522</v>
      </c>
      <c r="Q29" s="203" t="s">
        <v>743</v>
      </c>
      <c r="R29" s="205" t="s">
        <v>527</v>
      </c>
      <c r="S29" s="205" t="s">
        <v>528</v>
      </c>
      <c r="T29" s="203" t="s">
        <v>743</v>
      </c>
      <c r="U29" s="204" t="s">
        <v>526</v>
      </c>
      <c r="V29" s="203" t="s">
        <v>743</v>
      </c>
      <c r="W29" s="205" t="s">
        <v>524</v>
      </c>
      <c r="X29" s="205" t="s">
        <v>525</v>
      </c>
      <c r="Y29" s="203" t="s">
        <v>743</v>
      </c>
      <c r="Z29" s="204" t="s">
        <v>4</v>
      </c>
      <c r="AA29" s="202"/>
    </row>
    <row r="30" spans="1:30" x14ac:dyDescent="0.25">
      <c r="A30" s="214" t="s">
        <v>4</v>
      </c>
      <c r="B30" s="214" t="s">
        <v>15</v>
      </c>
      <c r="C30" s="210" t="s">
        <v>681</v>
      </c>
      <c r="D30" s="201" t="s">
        <v>750</v>
      </c>
      <c r="E30" s="189"/>
      <c r="F30" s="204" t="s">
        <v>4</v>
      </c>
      <c r="G30" s="203" t="s">
        <v>743</v>
      </c>
      <c r="H30" s="205" t="s">
        <v>524</v>
      </c>
      <c r="I30" s="205" t="s">
        <v>525</v>
      </c>
      <c r="J30" s="203" t="s">
        <v>743</v>
      </c>
      <c r="K30" s="204" t="s">
        <v>526</v>
      </c>
      <c r="L30" s="203" t="s">
        <v>743</v>
      </c>
      <c r="M30" s="205" t="s">
        <v>527</v>
      </c>
      <c r="N30" s="205" t="s">
        <v>528</v>
      </c>
      <c r="O30" s="203" t="s">
        <v>743</v>
      </c>
      <c r="P30" s="204" t="s">
        <v>522</v>
      </c>
      <c r="Q30" s="203" t="s">
        <v>743</v>
      </c>
      <c r="R30" s="205" t="s">
        <v>529</v>
      </c>
      <c r="S30" s="205" t="s">
        <v>530</v>
      </c>
      <c r="T30" s="203" t="s">
        <v>743</v>
      </c>
      <c r="U30" s="204" t="s">
        <v>531</v>
      </c>
      <c r="V30" s="203" t="s">
        <v>743</v>
      </c>
      <c r="W30" s="205" t="s">
        <v>532</v>
      </c>
      <c r="X30" s="205" t="s">
        <v>533</v>
      </c>
      <c r="Y30" s="203" t="s">
        <v>743</v>
      </c>
      <c r="Z30" s="204" t="s">
        <v>15</v>
      </c>
      <c r="AA30" s="202"/>
    </row>
    <row r="31" spans="1:30" x14ac:dyDescent="0.25">
      <c r="A31" s="214" t="s">
        <v>15</v>
      </c>
      <c r="B31" s="214" t="s">
        <v>57</v>
      </c>
      <c r="C31" s="210" t="s">
        <v>692</v>
      </c>
      <c r="D31" s="201" t="s">
        <v>762</v>
      </c>
      <c r="E31" s="189"/>
      <c r="F31" s="204" t="s">
        <v>15</v>
      </c>
      <c r="G31" s="203" t="s">
        <v>743</v>
      </c>
      <c r="H31" s="205" t="s">
        <v>532</v>
      </c>
      <c r="I31" s="205" t="s">
        <v>692</v>
      </c>
      <c r="J31" s="203" t="s">
        <v>743</v>
      </c>
      <c r="K31" s="204" t="s">
        <v>57</v>
      </c>
      <c r="L31" s="203"/>
      <c r="O31" s="206"/>
      <c r="Q31" s="206"/>
      <c r="T31" s="206"/>
    </row>
    <row r="32" spans="1:30" x14ac:dyDescent="0.25">
      <c r="A32" s="214" t="s">
        <v>42</v>
      </c>
      <c r="B32" s="214" t="s">
        <v>60</v>
      </c>
      <c r="C32" s="210" t="s">
        <v>693</v>
      </c>
      <c r="D32" s="201" t="s">
        <v>763</v>
      </c>
      <c r="E32" s="189"/>
      <c r="F32" s="204" t="s">
        <v>42</v>
      </c>
      <c r="G32" s="203" t="s">
        <v>743</v>
      </c>
      <c r="H32" s="205" t="s">
        <v>803</v>
      </c>
      <c r="I32" s="205" t="s">
        <v>693</v>
      </c>
      <c r="J32" s="203" t="s">
        <v>743</v>
      </c>
      <c r="K32" s="204" t="s">
        <v>60</v>
      </c>
      <c r="L32" s="203"/>
      <c r="O32" s="206"/>
      <c r="Q32" s="206"/>
      <c r="T32" s="206"/>
    </row>
    <row r="33" spans="1:30" x14ac:dyDescent="0.25">
      <c r="A33" s="214" t="s">
        <v>60</v>
      </c>
      <c r="B33" s="214" t="s">
        <v>63</v>
      </c>
      <c r="C33" s="210" t="s">
        <v>694</v>
      </c>
      <c r="D33" s="201" t="s">
        <v>764</v>
      </c>
      <c r="E33" s="189"/>
      <c r="F33" s="204" t="s">
        <v>60</v>
      </c>
      <c r="G33" s="203" t="s">
        <v>743</v>
      </c>
      <c r="H33" s="205" t="s">
        <v>826</v>
      </c>
      <c r="I33" s="205" t="s">
        <v>694</v>
      </c>
      <c r="J33" s="203" t="s">
        <v>743</v>
      </c>
      <c r="K33" s="204" t="s">
        <v>63</v>
      </c>
      <c r="L33" s="203"/>
      <c r="O33" s="206"/>
      <c r="Q33" s="206"/>
      <c r="T33" s="206"/>
    </row>
    <row r="34" spans="1:30" x14ac:dyDescent="0.25">
      <c r="A34" s="214" t="s">
        <v>63</v>
      </c>
      <c r="B34" s="214" t="s">
        <v>66</v>
      </c>
      <c r="C34" s="210" t="s">
        <v>695</v>
      </c>
      <c r="D34" s="201" t="s">
        <v>765</v>
      </c>
      <c r="E34" s="189"/>
      <c r="F34" s="204" t="s">
        <v>63</v>
      </c>
      <c r="G34" s="203" t="s">
        <v>743</v>
      </c>
      <c r="H34" s="205" t="s">
        <v>826</v>
      </c>
      <c r="I34" s="205" t="s">
        <v>806</v>
      </c>
      <c r="J34" s="203" t="s">
        <v>743</v>
      </c>
      <c r="K34" s="204" t="s">
        <v>49</v>
      </c>
      <c r="L34" s="203" t="s">
        <v>743</v>
      </c>
      <c r="M34" s="205" t="s">
        <v>804</v>
      </c>
      <c r="N34" s="205" t="s">
        <v>805</v>
      </c>
      <c r="O34" s="203" t="s">
        <v>743</v>
      </c>
      <c r="P34" s="204" t="s">
        <v>732</v>
      </c>
      <c r="Q34" s="203" t="s">
        <v>743</v>
      </c>
      <c r="R34" s="205" t="s">
        <v>815</v>
      </c>
      <c r="S34" s="205" t="s">
        <v>838</v>
      </c>
      <c r="T34" s="203" t="s">
        <v>743</v>
      </c>
      <c r="U34" s="204" t="s">
        <v>66</v>
      </c>
      <c r="V34" s="202"/>
      <c r="AA34" s="202"/>
    </row>
    <row r="35" spans="1:30" x14ac:dyDescent="0.25">
      <c r="A35" s="214" t="s">
        <v>39</v>
      </c>
      <c r="B35" s="214" t="s">
        <v>4</v>
      </c>
      <c r="C35" s="210" t="s">
        <v>688</v>
      </c>
      <c r="D35" s="201" t="s">
        <v>766</v>
      </c>
      <c r="E35" s="189"/>
      <c r="F35" s="204" t="s">
        <v>39</v>
      </c>
      <c r="G35" s="203" t="s">
        <v>743</v>
      </c>
      <c r="H35" s="205" t="s">
        <v>524</v>
      </c>
      <c r="I35" s="205" t="s">
        <v>688</v>
      </c>
      <c r="J35" s="203" t="s">
        <v>743</v>
      </c>
      <c r="K35" s="204" t="s">
        <v>4</v>
      </c>
      <c r="L35" s="203"/>
      <c r="O35" s="206"/>
      <c r="Q35" s="206"/>
      <c r="T35" s="206"/>
    </row>
    <row r="36" spans="1:30" x14ac:dyDescent="0.25">
      <c r="A36" s="214" t="s">
        <v>69</v>
      </c>
      <c r="B36" s="214" t="s">
        <v>71</v>
      </c>
      <c r="C36" s="210" t="s">
        <v>696</v>
      </c>
      <c r="D36" s="201" t="s">
        <v>767</v>
      </c>
      <c r="E36" s="189"/>
      <c r="F36" s="204" t="s">
        <v>69</v>
      </c>
      <c r="G36" s="203" t="s">
        <v>743</v>
      </c>
      <c r="H36" s="205" t="s">
        <v>807</v>
      </c>
      <c r="I36" s="205" t="s">
        <v>696</v>
      </c>
      <c r="J36" s="203" t="s">
        <v>743</v>
      </c>
      <c r="K36" s="204" t="s">
        <v>71</v>
      </c>
      <c r="L36" s="203"/>
      <c r="O36" s="206"/>
      <c r="Q36" s="206"/>
      <c r="T36" s="206"/>
    </row>
    <row r="37" spans="1:30" x14ac:dyDescent="0.25">
      <c r="A37" s="214" t="s">
        <v>71</v>
      </c>
      <c r="B37" s="214" t="s">
        <v>74</v>
      </c>
      <c r="C37" s="210" t="s">
        <v>697</v>
      </c>
      <c r="D37" s="201" t="s">
        <v>768</v>
      </c>
      <c r="E37" s="189"/>
      <c r="F37" s="204" t="s">
        <v>71</v>
      </c>
      <c r="G37" s="203" t="s">
        <v>743</v>
      </c>
      <c r="H37" s="205" t="s">
        <v>808</v>
      </c>
      <c r="I37" s="205" t="s">
        <v>809</v>
      </c>
      <c r="J37" s="203" t="s">
        <v>743</v>
      </c>
      <c r="K37" s="204" t="s">
        <v>733</v>
      </c>
      <c r="L37" s="203" t="s">
        <v>743</v>
      </c>
      <c r="M37" s="205" t="s">
        <v>814</v>
      </c>
      <c r="N37" s="205" t="s">
        <v>839</v>
      </c>
      <c r="O37" s="203" t="s">
        <v>743</v>
      </c>
      <c r="P37" s="204" t="s">
        <v>734</v>
      </c>
      <c r="Q37" s="203" t="s">
        <v>743</v>
      </c>
      <c r="R37" s="205" t="s">
        <v>808</v>
      </c>
      <c r="S37" s="205" t="s">
        <v>681</v>
      </c>
      <c r="T37" s="203" t="s">
        <v>743</v>
      </c>
      <c r="U37" s="204" t="s">
        <v>74</v>
      </c>
      <c r="V37" s="202"/>
      <c r="AA37" s="202"/>
    </row>
    <row r="38" spans="1:30" x14ac:dyDescent="0.25">
      <c r="A38" s="214" t="s">
        <v>74</v>
      </c>
      <c r="B38" s="214" t="s">
        <v>77</v>
      </c>
      <c r="C38" s="210" t="s">
        <v>698</v>
      </c>
      <c r="D38" s="201" t="s">
        <v>769</v>
      </c>
      <c r="E38" s="189"/>
      <c r="F38" s="204" t="s">
        <v>74</v>
      </c>
      <c r="G38" s="203" t="s">
        <v>743</v>
      </c>
      <c r="H38" s="205" t="s">
        <v>810</v>
      </c>
      <c r="I38" s="205" t="s">
        <v>811</v>
      </c>
      <c r="J38" s="203" t="s">
        <v>743</v>
      </c>
      <c r="K38" s="204" t="s">
        <v>735</v>
      </c>
      <c r="L38" s="203" t="s">
        <v>743</v>
      </c>
      <c r="M38" s="205" t="s">
        <v>812</v>
      </c>
      <c r="N38" s="205" t="s">
        <v>840</v>
      </c>
      <c r="O38" s="203" t="s">
        <v>743</v>
      </c>
      <c r="P38" s="204" t="s">
        <v>77</v>
      </c>
      <c r="Q38" s="203"/>
      <c r="T38" s="206"/>
      <c r="V38" s="202"/>
      <c r="AA38" s="202"/>
    </row>
    <row r="39" spans="1:30" x14ac:dyDescent="0.25">
      <c r="A39" s="214" t="s">
        <v>77</v>
      </c>
      <c r="B39" s="214" t="s">
        <v>80</v>
      </c>
      <c r="C39" s="210" t="s">
        <v>699</v>
      </c>
      <c r="D39" s="201" t="s">
        <v>770</v>
      </c>
      <c r="E39" s="189"/>
      <c r="F39" s="204" t="s">
        <v>77</v>
      </c>
      <c r="G39" s="203" t="s">
        <v>743</v>
      </c>
      <c r="H39" s="205" t="s">
        <v>812</v>
      </c>
      <c r="I39" s="205" t="s">
        <v>699</v>
      </c>
      <c r="J39" s="203" t="s">
        <v>743</v>
      </c>
      <c r="K39" s="204" t="s">
        <v>80</v>
      </c>
      <c r="L39" s="203"/>
      <c r="O39" s="206"/>
      <c r="Q39" s="206"/>
      <c r="T39" s="206"/>
    </row>
    <row r="40" spans="1:30" x14ac:dyDescent="0.25">
      <c r="A40" s="214" t="s">
        <v>83</v>
      </c>
      <c r="B40" s="214" t="s">
        <v>85</v>
      </c>
      <c r="C40" s="210" t="s">
        <v>700</v>
      </c>
      <c r="D40" s="201" t="s">
        <v>771</v>
      </c>
      <c r="E40" s="189"/>
      <c r="F40" s="204" t="s">
        <v>83</v>
      </c>
      <c r="G40" s="203" t="s">
        <v>743</v>
      </c>
      <c r="H40" s="205" t="s">
        <v>813</v>
      </c>
      <c r="I40" s="205" t="s">
        <v>700</v>
      </c>
      <c r="J40" s="203" t="s">
        <v>743</v>
      </c>
      <c r="K40" s="204" t="s">
        <v>85</v>
      </c>
      <c r="L40" s="203"/>
      <c r="O40" s="206"/>
      <c r="Q40" s="206"/>
      <c r="T40" s="206"/>
    </row>
    <row r="41" spans="1:30" x14ac:dyDescent="0.25">
      <c r="A41" s="214" t="s">
        <v>87</v>
      </c>
      <c r="B41" s="214" t="s">
        <v>89</v>
      </c>
      <c r="C41" s="210" t="s">
        <v>701</v>
      </c>
      <c r="D41" s="201" t="s">
        <v>772</v>
      </c>
      <c r="E41" s="189"/>
      <c r="F41" s="204" t="s">
        <v>87</v>
      </c>
      <c r="G41" s="203" t="s">
        <v>743</v>
      </c>
      <c r="H41" s="205" t="s">
        <v>814</v>
      </c>
      <c r="I41" s="205" t="s">
        <v>701</v>
      </c>
      <c r="J41" s="203" t="s">
        <v>743</v>
      </c>
      <c r="K41" s="204" t="s">
        <v>89</v>
      </c>
      <c r="L41" s="203"/>
      <c r="O41" s="206"/>
      <c r="Q41" s="206"/>
      <c r="T41" s="206"/>
    </row>
    <row r="42" spans="1:30" x14ac:dyDescent="0.25">
      <c r="A42" s="214" t="s">
        <v>15</v>
      </c>
      <c r="B42" s="214" t="s">
        <v>4</v>
      </c>
      <c r="C42" s="210" t="s">
        <v>681</v>
      </c>
      <c r="D42" s="201" t="s">
        <v>749</v>
      </c>
      <c r="E42" s="189"/>
      <c r="F42" s="204" t="s">
        <v>15</v>
      </c>
      <c r="G42" s="203" t="s">
        <v>743</v>
      </c>
      <c r="H42" s="205" t="s">
        <v>532</v>
      </c>
      <c r="I42" s="205" t="s">
        <v>533</v>
      </c>
      <c r="J42" s="203" t="s">
        <v>743</v>
      </c>
      <c r="K42" s="204" t="s">
        <v>531</v>
      </c>
      <c r="L42" s="203" t="s">
        <v>743</v>
      </c>
      <c r="M42" s="205" t="s">
        <v>529</v>
      </c>
      <c r="N42" s="205" t="s">
        <v>530</v>
      </c>
      <c r="O42" s="203" t="s">
        <v>743</v>
      </c>
      <c r="P42" s="204" t="s">
        <v>522</v>
      </c>
      <c r="Q42" s="203" t="s">
        <v>743</v>
      </c>
      <c r="R42" s="205" t="s">
        <v>527</v>
      </c>
      <c r="S42" s="205" t="s">
        <v>528</v>
      </c>
      <c r="T42" s="203" t="s">
        <v>743</v>
      </c>
      <c r="U42" s="204" t="s">
        <v>526</v>
      </c>
      <c r="V42" s="203" t="s">
        <v>743</v>
      </c>
      <c r="W42" s="205" t="s">
        <v>524</v>
      </c>
      <c r="X42" s="205" t="s">
        <v>525</v>
      </c>
      <c r="Y42" s="203" t="s">
        <v>743</v>
      </c>
      <c r="Z42" s="204" t="s">
        <v>4</v>
      </c>
      <c r="AA42" s="203"/>
      <c r="AD42" s="203"/>
    </row>
    <row r="43" spans="1:30" x14ac:dyDescent="0.25">
      <c r="A43" s="214" t="s">
        <v>266</v>
      </c>
      <c r="B43" s="214" t="s">
        <v>66</v>
      </c>
      <c r="C43" s="210" t="s">
        <v>702</v>
      </c>
      <c r="D43" s="201" t="s">
        <v>773</v>
      </c>
      <c r="E43" s="189"/>
      <c r="F43" s="204" t="s">
        <v>266</v>
      </c>
      <c r="G43" s="203" t="s">
        <v>743</v>
      </c>
      <c r="H43" s="205" t="s">
        <v>815</v>
      </c>
      <c r="I43" s="205" t="s">
        <v>702</v>
      </c>
      <c r="J43" s="203" t="s">
        <v>743</v>
      </c>
      <c r="K43" s="204" t="s">
        <v>66</v>
      </c>
      <c r="L43" s="203"/>
      <c r="O43" s="206"/>
      <c r="Q43" s="206"/>
      <c r="T43" s="206"/>
    </row>
    <row r="44" spans="1:30" x14ac:dyDescent="0.25">
      <c r="A44" s="214" t="s">
        <v>66</v>
      </c>
      <c r="B44" s="214" t="s">
        <v>57</v>
      </c>
      <c r="C44" s="210" t="s">
        <v>703</v>
      </c>
      <c r="D44" s="201" t="s">
        <v>774</v>
      </c>
      <c r="E44" s="189"/>
      <c r="F44" s="204" t="s">
        <v>66</v>
      </c>
      <c r="G44" s="203" t="s">
        <v>743</v>
      </c>
      <c r="H44" s="205" t="s">
        <v>532</v>
      </c>
      <c r="I44" s="205" t="s">
        <v>703</v>
      </c>
      <c r="J44" s="203" t="s">
        <v>743</v>
      </c>
      <c r="K44" s="204" t="s">
        <v>57</v>
      </c>
      <c r="L44" s="203"/>
      <c r="O44" s="206"/>
      <c r="Q44" s="206"/>
      <c r="T44" s="206"/>
    </row>
    <row r="45" spans="1:30" x14ac:dyDescent="0.25">
      <c r="A45" s="214" t="s">
        <v>39</v>
      </c>
      <c r="B45" s="214" t="s">
        <v>283</v>
      </c>
      <c r="C45" s="210" t="s">
        <v>704</v>
      </c>
      <c r="D45" s="201" t="s">
        <v>775</v>
      </c>
      <c r="E45" s="189"/>
      <c r="F45" s="204" t="s">
        <v>39</v>
      </c>
      <c r="G45" s="203" t="s">
        <v>743</v>
      </c>
      <c r="H45" s="205" t="s">
        <v>803</v>
      </c>
      <c r="I45" s="205" t="s">
        <v>704</v>
      </c>
      <c r="J45" s="203" t="s">
        <v>743</v>
      </c>
      <c r="K45" s="204" t="s">
        <v>283</v>
      </c>
      <c r="L45" s="203"/>
      <c r="O45" s="206"/>
      <c r="Q45" s="206"/>
      <c r="T45" s="206"/>
    </row>
    <row r="46" spans="1:30" x14ac:dyDescent="0.25">
      <c r="A46" s="214" t="s">
        <v>283</v>
      </c>
      <c r="B46" s="214" t="s">
        <v>42</v>
      </c>
      <c r="C46" s="210" t="s">
        <v>705</v>
      </c>
      <c r="D46" s="201" t="s">
        <v>776</v>
      </c>
      <c r="E46" s="189"/>
      <c r="F46" s="204" t="s">
        <v>283</v>
      </c>
      <c r="G46" s="203" t="s">
        <v>743</v>
      </c>
      <c r="H46" s="205" t="s">
        <v>803</v>
      </c>
      <c r="I46" s="205" t="s">
        <v>705</v>
      </c>
      <c r="J46" s="203" t="s">
        <v>743</v>
      </c>
      <c r="K46" s="204" t="s">
        <v>42</v>
      </c>
      <c r="L46" s="203"/>
      <c r="O46" s="206"/>
      <c r="Q46" s="206"/>
      <c r="T46" s="206"/>
    </row>
    <row r="47" spans="1:30" x14ac:dyDescent="0.25">
      <c r="A47" s="214" t="s">
        <v>57</v>
      </c>
      <c r="B47" s="214" t="s">
        <v>66</v>
      </c>
      <c r="C47" s="210" t="s">
        <v>703</v>
      </c>
      <c r="D47" s="201" t="s">
        <v>777</v>
      </c>
      <c r="E47" s="189"/>
      <c r="F47" s="204" t="s">
        <v>57</v>
      </c>
      <c r="G47" s="203" t="s">
        <v>743</v>
      </c>
      <c r="H47" s="205" t="s">
        <v>532</v>
      </c>
      <c r="I47" s="205" t="s">
        <v>703</v>
      </c>
      <c r="J47" s="203" t="s">
        <v>743</v>
      </c>
      <c r="K47" s="204" t="s">
        <v>66</v>
      </c>
      <c r="L47" s="203"/>
      <c r="O47" s="206"/>
      <c r="Q47" s="206"/>
      <c r="T47" s="206"/>
    </row>
    <row r="48" spans="1:30" x14ac:dyDescent="0.25">
      <c r="A48" s="214" t="s">
        <v>66</v>
      </c>
      <c r="B48" s="214" t="s">
        <v>605</v>
      </c>
      <c r="C48" s="210" t="s">
        <v>706</v>
      </c>
      <c r="D48" s="201" t="s">
        <v>778</v>
      </c>
      <c r="E48" s="189"/>
      <c r="F48" s="204" t="s">
        <v>66</v>
      </c>
      <c r="G48" s="203" t="s">
        <v>743</v>
      </c>
      <c r="H48" s="205" t="s">
        <v>815</v>
      </c>
      <c r="I48" s="205" t="s">
        <v>706</v>
      </c>
      <c r="J48" s="203" t="s">
        <v>743</v>
      </c>
      <c r="K48" s="204" t="s">
        <v>605</v>
      </c>
      <c r="L48" s="203"/>
      <c r="O48" s="206"/>
      <c r="Q48" s="206"/>
      <c r="T48" s="206"/>
    </row>
    <row r="49" spans="1:31" x14ac:dyDescent="0.25">
      <c r="A49" s="214" t="s">
        <v>4</v>
      </c>
      <c r="B49" s="214" t="s">
        <v>604</v>
      </c>
      <c r="C49" s="210" t="s">
        <v>707</v>
      </c>
      <c r="D49" s="201" t="s">
        <v>779</v>
      </c>
      <c r="E49" s="189"/>
      <c r="F49" s="204" t="s">
        <v>4</v>
      </c>
      <c r="G49" s="203" t="s">
        <v>743</v>
      </c>
      <c r="H49" s="205" t="s">
        <v>524</v>
      </c>
      <c r="I49" s="205" t="s">
        <v>707</v>
      </c>
      <c r="J49" s="203" t="s">
        <v>743</v>
      </c>
      <c r="K49" s="204" t="s">
        <v>604</v>
      </c>
      <c r="L49" s="203"/>
      <c r="O49" s="206"/>
      <c r="Q49" s="206"/>
      <c r="T49" s="206"/>
    </row>
    <row r="50" spans="1:31" x14ac:dyDescent="0.25">
      <c r="A50" s="214" t="s">
        <v>604</v>
      </c>
      <c r="B50" s="214" t="s">
        <v>4</v>
      </c>
      <c r="C50" s="210" t="s">
        <v>707</v>
      </c>
      <c r="D50" s="201" t="s">
        <v>780</v>
      </c>
      <c r="E50" s="189"/>
      <c r="F50" s="204" t="s">
        <v>604</v>
      </c>
      <c r="G50" s="203" t="s">
        <v>743</v>
      </c>
      <c r="H50" s="205" t="s">
        <v>524</v>
      </c>
      <c r="I50" s="205" t="s">
        <v>707</v>
      </c>
      <c r="J50" s="203" t="s">
        <v>743</v>
      </c>
      <c r="K50" s="204" t="s">
        <v>4</v>
      </c>
      <c r="L50" s="203"/>
      <c r="O50" s="206"/>
      <c r="Q50" s="206"/>
      <c r="T50" s="206"/>
    </row>
    <row r="51" spans="1:31" x14ac:dyDescent="0.25">
      <c r="A51" s="214" t="s">
        <v>15</v>
      </c>
      <c r="B51" s="214" t="s">
        <v>4</v>
      </c>
      <c r="C51" s="210" t="s">
        <v>681</v>
      </c>
      <c r="D51" s="201" t="s">
        <v>749</v>
      </c>
      <c r="E51" s="189"/>
      <c r="F51" s="204" t="s">
        <v>15</v>
      </c>
      <c r="G51" s="203" t="s">
        <v>743</v>
      </c>
      <c r="H51" s="205" t="s">
        <v>532</v>
      </c>
      <c r="I51" s="205" t="s">
        <v>533</v>
      </c>
      <c r="J51" s="203" t="s">
        <v>743</v>
      </c>
      <c r="K51" s="204" t="s">
        <v>531</v>
      </c>
      <c r="L51" s="203" t="s">
        <v>743</v>
      </c>
      <c r="M51" s="205" t="s">
        <v>529</v>
      </c>
      <c r="N51" s="205" t="s">
        <v>530</v>
      </c>
      <c r="O51" s="203" t="s">
        <v>743</v>
      </c>
      <c r="P51" s="204" t="s">
        <v>522</v>
      </c>
      <c r="Q51" s="203" t="s">
        <v>743</v>
      </c>
      <c r="R51" s="205" t="s">
        <v>527</v>
      </c>
      <c r="S51" s="205" t="s">
        <v>528</v>
      </c>
      <c r="T51" s="203" t="s">
        <v>743</v>
      </c>
      <c r="U51" s="204" t="s">
        <v>526</v>
      </c>
      <c r="V51" s="203" t="s">
        <v>743</v>
      </c>
      <c r="W51" s="205" t="s">
        <v>524</v>
      </c>
      <c r="X51" s="205" t="s">
        <v>525</v>
      </c>
      <c r="Y51" s="203" t="s">
        <v>743</v>
      </c>
      <c r="Z51" s="204" t="s">
        <v>4</v>
      </c>
      <c r="AA51" s="203"/>
      <c r="AD51" s="203"/>
    </row>
    <row r="52" spans="1:31" x14ac:dyDescent="0.25">
      <c r="A52" s="214" t="s">
        <v>15</v>
      </c>
      <c r="B52" s="214" t="s">
        <v>66</v>
      </c>
      <c r="C52" s="210" t="s">
        <v>708</v>
      </c>
      <c r="D52" s="201" t="s">
        <v>781</v>
      </c>
      <c r="E52" s="189"/>
      <c r="F52" s="204" t="s">
        <v>15</v>
      </c>
      <c r="G52" s="203" t="s">
        <v>743</v>
      </c>
      <c r="H52" s="205" t="s">
        <v>532</v>
      </c>
      <c r="I52" s="205" t="s">
        <v>708</v>
      </c>
      <c r="J52" s="203" t="s">
        <v>743</v>
      </c>
      <c r="K52" s="204" t="s">
        <v>66</v>
      </c>
      <c r="L52" s="203"/>
      <c r="O52" s="206"/>
      <c r="Q52" s="206"/>
      <c r="T52" s="206"/>
    </row>
    <row r="53" spans="1:31" x14ac:dyDescent="0.25">
      <c r="A53" s="214" t="s">
        <v>66</v>
      </c>
      <c r="B53" s="214" t="s">
        <v>15</v>
      </c>
      <c r="C53" s="210" t="s">
        <v>708</v>
      </c>
      <c r="D53" s="201" t="s">
        <v>782</v>
      </c>
      <c r="E53" s="189"/>
      <c r="F53" s="204" t="s">
        <v>66</v>
      </c>
      <c r="G53" s="203" t="s">
        <v>743</v>
      </c>
      <c r="H53" s="205" t="s">
        <v>532</v>
      </c>
      <c r="I53" s="205" t="s">
        <v>708</v>
      </c>
      <c r="J53" s="203" t="s">
        <v>743</v>
      </c>
      <c r="K53" s="204" t="s">
        <v>15</v>
      </c>
      <c r="L53" s="203"/>
      <c r="O53" s="206"/>
      <c r="Q53" s="206"/>
      <c r="T53" s="206"/>
    </row>
    <row r="54" spans="1:31" x14ac:dyDescent="0.25">
      <c r="A54" s="214" t="s">
        <v>15</v>
      </c>
      <c r="B54" s="214" t="s">
        <v>4</v>
      </c>
      <c r="C54" s="210" t="s">
        <v>681</v>
      </c>
      <c r="D54" s="201" t="s">
        <v>749</v>
      </c>
      <c r="E54" s="189"/>
      <c r="F54" s="204" t="s">
        <v>15</v>
      </c>
      <c r="G54" s="203" t="s">
        <v>743</v>
      </c>
      <c r="H54" s="205" t="s">
        <v>532</v>
      </c>
      <c r="I54" s="205" t="s">
        <v>533</v>
      </c>
      <c r="J54" s="203" t="s">
        <v>743</v>
      </c>
      <c r="K54" s="204" t="s">
        <v>531</v>
      </c>
      <c r="L54" s="203" t="s">
        <v>743</v>
      </c>
      <c r="M54" s="205" t="s">
        <v>529</v>
      </c>
      <c r="N54" s="205" t="s">
        <v>530</v>
      </c>
      <c r="O54" s="203" t="s">
        <v>743</v>
      </c>
      <c r="P54" s="204" t="s">
        <v>522</v>
      </c>
      <c r="Q54" s="203" t="s">
        <v>743</v>
      </c>
      <c r="R54" s="205" t="s">
        <v>527</v>
      </c>
      <c r="S54" s="205" t="s">
        <v>528</v>
      </c>
      <c r="T54" s="203" t="s">
        <v>743</v>
      </c>
      <c r="U54" s="204" t="s">
        <v>526</v>
      </c>
      <c r="V54" s="203" t="s">
        <v>743</v>
      </c>
      <c r="W54" s="205" t="s">
        <v>524</v>
      </c>
      <c r="X54" s="205" t="s">
        <v>525</v>
      </c>
      <c r="Y54" s="203" t="s">
        <v>743</v>
      </c>
      <c r="Z54" s="204" t="s">
        <v>4</v>
      </c>
      <c r="AA54" s="203"/>
      <c r="AD54" s="203"/>
    </row>
    <row r="55" spans="1:31" x14ac:dyDescent="0.25">
      <c r="A55" s="214" t="s">
        <v>4</v>
      </c>
      <c r="B55" s="214" t="s">
        <v>15</v>
      </c>
      <c r="C55" s="210" t="s">
        <v>681</v>
      </c>
      <c r="D55" s="201" t="s">
        <v>750</v>
      </c>
      <c r="E55" s="189"/>
      <c r="F55" s="204" t="s">
        <v>4</v>
      </c>
      <c r="G55" s="203" t="s">
        <v>743</v>
      </c>
      <c r="H55" s="205" t="s">
        <v>524</v>
      </c>
      <c r="I55" s="205" t="s">
        <v>525</v>
      </c>
      <c r="J55" s="203" t="s">
        <v>743</v>
      </c>
      <c r="K55" s="204" t="s">
        <v>526</v>
      </c>
      <c r="L55" s="203" t="s">
        <v>743</v>
      </c>
      <c r="M55" s="205" t="s">
        <v>527</v>
      </c>
      <c r="N55" s="205" t="s">
        <v>528</v>
      </c>
      <c r="O55" s="203" t="s">
        <v>743</v>
      </c>
      <c r="P55" s="204" t="s">
        <v>522</v>
      </c>
      <c r="Q55" s="203" t="s">
        <v>743</v>
      </c>
      <c r="R55" s="205" t="s">
        <v>529</v>
      </c>
      <c r="S55" s="205" t="s">
        <v>530</v>
      </c>
      <c r="T55" s="203" t="s">
        <v>743</v>
      </c>
      <c r="U55" s="204" t="s">
        <v>531</v>
      </c>
      <c r="V55" s="203" t="s">
        <v>743</v>
      </c>
      <c r="W55" s="205" t="s">
        <v>532</v>
      </c>
      <c r="X55" s="205" t="s">
        <v>533</v>
      </c>
      <c r="Y55" s="203" t="s">
        <v>743</v>
      </c>
      <c r="Z55" s="204" t="s">
        <v>15</v>
      </c>
      <c r="AA55" s="203"/>
      <c r="AD55" s="203"/>
    </row>
    <row r="56" spans="1:31" x14ac:dyDescent="0.25">
      <c r="A56" s="214" t="s">
        <v>15</v>
      </c>
      <c r="B56" s="214" t="s">
        <v>574</v>
      </c>
      <c r="C56" s="210" t="s">
        <v>709</v>
      </c>
      <c r="D56" s="201" t="s">
        <v>783</v>
      </c>
      <c r="E56" s="189"/>
      <c r="F56" s="204" t="s">
        <v>15</v>
      </c>
      <c r="G56" s="203" t="s">
        <v>743</v>
      </c>
      <c r="H56" s="205" t="s">
        <v>532</v>
      </c>
      <c r="I56" s="205" t="s">
        <v>708</v>
      </c>
      <c r="J56" s="203" t="s">
        <v>743</v>
      </c>
      <c r="K56" s="204" t="s">
        <v>66</v>
      </c>
      <c r="L56" s="203" t="s">
        <v>743</v>
      </c>
      <c r="M56" s="205" t="s">
        <v>818</v>
      </c>
      <c r="N56" s="205" t="s">
        <v>841</v>
      </c>
      <c r="O56" s="203" t="s">
        <v>743</v>
      </c>
      <c r="P56" s="204" t="s">
        <v>736</v>
      </c>
      <c r="Q56" s="203" t="s">
        <v>743</v>
      </c>
      <c r="R56" s="205" t="s">
        <v>844</v>
      </c>
      <c r="S56" s="205" t="s">
        <v>845</v>
      </c>
      <c r="T56" s="203" t="s">
        <v>743</v>
      </c>
      <c r="U56" s="204" t="s">
        <v>737</v>
      </c>
      <c r="V56" s="203" t="s">
        <v>743</v>
      </c>
      <c r="W56" s="205" t="s">
        <v>842</v>
      </c>
      <c r="X56" s="205" t="s">
        <v>843</v>
      </c>
      <c r="Y56" s="203" t="s">
        <v>743</v>
      </c>
      <c r="Z56" s="204" t="s">
        <v>738</v>
      </c>
      <c r="AA56" s="203" t="s">
        <v>743</v>
      </c>
      <c r="AB56" s="205" t="s">
        <v>816</v>
      </c>
      <c r="AC56" s="205" t="s">
        <v>817</v>
      </c>
      <c r="AD56" s="203" t="s">
        <v>743</v>
      </c>
      <c r="AE56" s="204" t="s">
        <v>574</v>
      </c>
    </row>
    <row r="57" spans="1:31" x14ac:dyDescent="0.25">
      <c r="A57" s="213" t="s">
        <v>574</v>
      </c>
      <c r="B57" s="213" t="s">
        <v>584</v>
      </c>
      <c r="C57" s="210" t="s">
        <v>710</v>
      </c>
      <c r="D57" s="201" t="s">
        <v>784</v>
      </c>
      <c r="F57" s="204" t="s">
        <v>574</v>
      </c>
      <c r="G57" s="203" t="s">
        <v>743</v>
      </c>
      <c r="H57" s="205" t="s">
        <v>816</v>
      </c>
      <c r="I57" s="205" t="s">
        <v>817</v>
      </c>
      <c r="J57" s="203" t="s">
        <v>743</v>
      </c>
      <c r="K57" s="204" t="s">
        <v>738</v>
      </c>
      <c r="L57" s="203" t="s">
        <v>743</v>
      </c>
      <c r="M57" s="205" t="s">
        <v>842</v>
      </c>
      <c r="N57" s="205" t="s">
        <v>843</v>
      </c>
      <c r="O57" s="203" t="s">
        <v>743</v>
      </c>
      <c r="P57" s="204" t="s">
        <v>737</v>
      </c>
      <c r="Q57" s="203" t="s">
        <v>743</v>
      </c>
      <c r="R57" s="205" t="s">
        <v>844</v>
      </c>
      <c r="S57" s="205" t="s">
        <v>845</v>
      </c>
      <c r="T57" s="203" t="s">
        <v>743</v>
      </c>
      <c r="U57" s="204" t="s">
        <v>736</v>
      </c>
      <c r="V57" s="203" t="s">
        <v>743</v>
      </c>
      <c r="W57" s="205" t="s">
        <v>858</v>
      </c>
      <c r="X57" s="205" t="s">
        <v>796</v>
      </c>
      <c r="Y57" s="203" t="s">
        <v>743</v>
      </c>
      <c r="Z57" s="204" t="s">
        <v>584</v>
      </c>
      <c r="AA57" s="203"/>
      <c r="AD57" s="203"/>
    </row>
    <row r="58" spans="1:31" x14ac:dyDescent="0.25">
      <c r="A58" s="214" t="s">
        <v>590</v>
      </c>
      <c r="B58" s="214" t="s">
        <v>574</v>
      </c>
      <c r="C58" s="210" t="s">
        <v>693</v>
      </c>
      <c r="D58" s="201" t="s">
        <v>785</v>
      </c>
      <c r="E58" s="189"/>
      <c r="F58" s="204" t="s">
        <v>590</v>
      </c>
      <c r="G58" s="203" t="s">
        <v>743</v>
      </c>
      <c r="H58" s="205" t="s">
        <v>818</v>
      </c>
      <c r="I58" s="205" t="s">
        <v>681</v>
      </c>
      <c r="J58" s="203" t="s">
        <v>743</v>
      </c>
      <c r="K58" s="204" t="s">
        <v>736</v>
      </c>
      <c r="L58" s="203" t="s">
        <v>743</v>
      </c>
      <c r="M58" s="205" t="s">
        <v>844</v>
      </c>
      <c r="N58" s="205" t="s">
        <v>845</v>
      </c>
      <c r="O58" s="203" t="s">
        <v>743</v>
      </c>
      <c r="P58" s="204" t="s">
        <v>737</v>
      </c>
      <c r="Q58" s="203" t="s">
        <v>743</v>
      </c>
      <c r="R58" s="205" t="s">
        <v>842</v>
      </c>
      <c r="S58" s="205" t="s">
        <v>843</v>
      </c>
      <c r="T58" s="203" t="s">
        <v>743</v>
      </c>
      <c r="U58" s="204" t="s">
        <v>738</v>
      </c>
      <c r="V58" s="203" t="s">
        <v>743</v>
      </c>
      <c r="W58" s="205" t="s">
        <v>816</v>
      </c>
      <c r="X58" s="205" t="s">
        <v>817</v>
      </c>
      <c r="Y58" s="203" t="s">
        <v>743</v>
      </c>
      <c r="Z58" s="204" t="s">
        <v>574</v>
      </c>
      <c r="AA58" s="203"/>
      <c r="AD58" s="203"/>
    </row>
    <row r="59" spans="1:31" x14ac:dyDescent="0.25">
      <c r="A59" s="214" t="s">
        <v>574</v>
      </c>
      <c r="B59" s="214" t="s">
        <v>597</v>
      </c>
      <c r="C59" s="210" t="s">
        <v>711</v>
      </c>
      <c r="D59" s="201" t="s">
        <v>786</v>
      </c>
      <c r="E59" s="189"/>
      <c r="F59" s="204" t="s">
        <v>574</v>
      </c>
      <c r="G59" s="203" t="s">
        <v>743</v>
      </c>
      <c r="H59" s="205" t="s">
        <v>819</v>
      </c>
      <c r="I59" s="205" t="s">
        <v>711</v>
      </c>
      <c r="J59" s="203" t="s">
        <v>743</v>
      </c>
      <c r="K59" s="204" t="s">
        <v>597</v>
      </c>
      <c r="L59" s="203"/>
      <c r="O59" s="206"/>
      <c r="Q59" s="206"/>
      <c r="T59" s="206"/>
    </row>
    <row r="60" spans="1:31" x14ac:dyDescent="0.25">
      <c r="A60" s="214" t="s">
        <v>672</v>
      </c>
      <c r="B60" s="214" t="s">
        <v>4</v>
      </c>
      <c r="C60" s="210" t="s">
        <v>712</v>
      </c>
      <c r="D60" s="201" t="s">
        <v>787</v>
      </c>
      <c r="E60" s="189"/>
      <c r="F60" s="204" t="s">
        <v>672</v>
      </c>
      <c r="G60" s="203" t="s">
        <v>743</v>
      </c>
      <c r="H60" s="205" t="s">
        <v>524</v>
      </c>
      <c r="I60" s="205" t="s">
        <v>712</v>
      </c>
      <c r="J60" s="203" t="s">
        <v>743</v>
      </c>
      <c r="K60" s="204" t="s">
        <v>4</v>
      </c>
      <c r="L60" s="203"/>
      <c r="O60" s="206"/>
      <c r="Q60" s="206"/>
      <c r="T60" s="206"/>
    </row>
    <row r="61" spans="1:31" x14ac:dyDescent="0.25">
      <c r="A61" s="214" t="s">
        <v>604</v>
      </c>
      <c r="B61" s="214" t="s">
        <v>674</v>
      </c>
      <c r="C61" s="210" t="s">
        <v>713</v>
      </c>
      <c r="D61" s="201" t="s">
        <v>788</v>
      </c>
      <c r="E61" s="189"/>
      <c r="F61" s="204" t="s">
        <v>604</v>
      </c>
      <c r="G61" s="203" t="s">
        <v>743</v>
      </c>
      <c r="H61" s="205" t="s">
        <v>524</v>
      </c>
      <c r="I61" s="205" t="s">
        <v>820</v>
      </c>
      <c r="J61" s="203" t="s">
        <v>743</v>
      </c>
      <c r="K61" s="204" t="s">
        <v>739</v>
      </c>
      <c r="L61" s="203" t="s">
        <v>743</v>
      </c>
      <c r="M61" s="205" t="s">
        <v>846</v>
      </c>
      <c r="N61" s="205" t="s">
        <v>847</v>
      </c>
      <c r="O61" s="203" t="s">
        <v>743</v>
      </c>
      <c r="P61" s="204" t="s">
        <v>740</v>
      </c>
      <c r="Q61" s="203" t="s">
        <v>743</v>
      </c>
      <c r="R61" s="205" t="s">
        <v>853</v>
      </c>
      <c r="S61" s="205" t="s">
        <v>854</v>
      </c>
      <c r="T61" s="203" t="s">
        <v>743</v>
      </c>
      <c r="U61" s="204" t="s">
        <v>674</v>
      </c>
      <c r="V61" s="202"/>
    </row>
    <row r="62" spans="1:31" x14ac:dyDescent="0.25">
      <c r="A62" s="214" t="s">
        <v>673</v>
      </c>
      <c r="B62" s="214" t="s">
        <v>15</v>
      </c>
      <c r="C62" s="210" t="s">
        <v>714</v>
      </c>
      <c r="D62" s="201" t="s">
        <v>789</v>
      </c>
      <c r="E62" s="189"/>
      <c r="F62" s="204" t="s">
        <v>673</v>
      </c>
      <c r="G62" s="203" t="s">
        <v>743</v>
      </c>
      <c r="H62" s="205" t="s">
        <v>829</v>
      </c>
      <c r="I62" s="205" t="s">
        <v>832</v>
      </c>
      <c r="J62" s="203" t="s">
        <v>743</v>
      </c>
      <c r="K62" s="204" t="s">
        <v>66</v>
      </c>
      <c r="L62" s="203" t="s">
        <v>743</v>
      </c>
      <c r="M62" s="205" t="s">
        <v>532</v>
      </c>
      <c r="N62" s="205" t="s">
        <v>708</v>
      </c>
      <c r="O62" s="203" t="s">
        <v>743</v>
      </c>
      <c r="P62" s="204" t="s">
        <v>15</v>
      </c>
      <c r="Q62" s="176"/>
      <c r="T62" s="206"/>
    </row>
    <row r="63" spans="1:31" x14ac:dyDescent="0.25">
      <c r="A63" s="214" t="s">
        <v>15</v>
      </c>
      <c r="B63" s="214" t="s">
        <v>648</v>
      </c>
      <c r="C63" s="210" t="s">
        <v>680</v>
      </c>
      <c r="D63" s="201" t="s">
        <v>790</v>
      </c>
      <c r="E63" s="189"/>
      <c r="F63" s="204" t="s">
        <v>15</v>
      </c>
      <c r="G63" s="203" t="s">
        <v>743</v>
      </c>
      <c r="H63" s="205" t="s">
        <v>532</v>
      </c>
      <c r="I63" s="205" t="s">
        <v>680</v>
      </c>
      <c r="J63" s="203" t="s">
        <v>743</v>
      </c>
      <c r="K63" s="204" t="s">
        <v>648</v>
      </c>
      <c r="L63" s="203"/>
      <c r="O63" s="176"/>
      <c r="Q63" s="206"/>
      <c r="T63" s="206"/>
    </row>
    <row r="64" spans="1:31" x14ac:dyDescent="0.25">
      <c r="A64" s="214" t="s">
        <v>648</v>
      </c>
      <c r="B64" s="214" t="s">
        <v>4</v>
      </c>
      <c r="C64" s="210" t="s">
        <v>715</v>
      </c>
      <c r="D64" s="201" t="s">
        <v>791</v>
      </c>
      <c r="E64" s="189"/>
      <c r="F64" s="204" t="s">
        <v>648</v>
      </c>
      <c r="G64" s="203" t="s">
        <v>743</v>
      </c>
      <c r="H64" s="205" t="s">
        <v>532</v>
      </c>
      <c r="I64" s="205" t="s">
        <v>821</v>
      </c>
      <c r="J64" s="203" t="s">
        <v>743</v>
      </c>
      <c r="K64" s="204" t="s">
        <v>531</v>
      </c>
      <c r="L64" s="203" t="s">
        <v>743</v>
      </c>
      <c r="M64" s="205" t="s">
        <v>529</v>
      </c>
      <c r="N64" s="205" t="s">
        <v>530</v>
      </c>
      <c r="O64" s="203" t="s">
        <v>743</v>
      </c>
      <c r="P64" s="204" t="s">
        <v>522</v>
      </c>
      <c r="Q64" s="203" t="s">
        <v>743</v>
      </c>
      <c r="R64" s="205" t="s">
        <v>527</v>
      </c>
      <c r="S64" s="205" t="s">
        <v>528</v>
      </c>
      <c r="T64" s="203" t="s">
        <v>743</v>
      </c>
      <c r="U64" s="204" t="s">
        <v>526</v>
      </c>
      <c r="V64" s="203" t="s">
        <v>743</v>
      </c>
      <c r="W64" s="205" t="s">
        <v>524</v>
      </c>
      <c r="X64" s="205" t="s">
        <v>525</v>
      </c>
      <c r="Y64" s="203" t="s">
        <v>743</v>
      </c>
      <c r="Z64" s="204" t="s">
        <v>4</v>
      </c>
      <c r="AA64" s="203"/>
      <c r="AD64" s="203"/>
    </row>
    <row r="65" spans="1:30" x14ac:dyDescent="0.25">
      <c r="A65" s="214" t="s">
        <v>4</v>
      </c>
      <c r="B65" s="214" t="s">
        <v>15</v>
      </c>
      <c r="C65" s="210" t="s">
        <v>681</v>
      </c>
      <c r="D65" s="201" t="s">
        <v>750</v>
      </c>
      <c r="E65" s="189"/>
      <c r="F65" s="204" t="s">
        <v>4</v>
      </c>
      <c r="G65" s="203" t="s">
        <v>743</v>
      </c>
      <c r="H65" s="205" t="s">
        <v>524</v>
      </c>
      <c r="I65" s="205" t="s">
        <v>525</v>
      </c>
      <c r="J65" s="203" t="s">
        <v>743</v>
      </c>
      <c r="K65" s="204" t="s">
        <v>526</v>
      </c>
      <c r="L65" s="203" t="s">
        <v>743</v>
      </c>
      <c r="M65" s="205" t="s">
        <v>527</v>
      </c>
      <c r="N65" s="205" t="s">
        <v>528</v>
      </c>
      <c r="O65" s="203" t="s">
        <v>743</v>
      </c>
      <c r="P65" s="204" t="s">
        <v>522</v>
      </c>
      <c r="Q65" s="203" t="s">
        <v>743</v>
      </c>
      <c r="R65" s="205" t="s">
        <v>529</v>
      </c>
      <c r="S65" s="205" t="s">
        <v>530</v>
      </c>
      <c r="T65" s="203" t="s">
        <v>743</v>
      </c>
      <c r="U65" s="204" t="s">
        <v>531</v>
      </c>
      <c r="V65" s="203" t="s">
        <v>743</v>
      </c>
      <c r="W65" s="205" t="s">
        <v>532</v>
      </c>
      <c r="X65" s="205" t="s">
        <v>533</v>
      </c>
      <c r="Y65" s="203" t="s">
        <v>743</v>
      </c>
      <c r="Z65" s="204" t="s">
        <v>15</v>
      </c>
      <c r="AA65" s="203"/>
      <c r="AD65" s="203"/>
    </row>
    <row r="66" spans="1:30" x14ac:dyDescent="0.25">
      <c r="A66" s="214" t="s">
        <v>4</v>
      </c>
      <c r="B66" s="214" t="s">
        <v>15</v>
      </c>
      <c r="C66" s="210" t="s">
        <v>681</v>
      </c>
      <c r="D66" s="201" t="s">
        <v>750</v>
      </c>
      <c r="E66" s="189"/>
      <c r="F66" s="204" t="s">
        <v>4</v>
      </c>
      <c r="G66" s="203" t="s">
        <v>743</v>
      </c>
      <c r="H66" s="205" t="s">
        <v>524</v>
      </c>
      <c r="I66" s="205" t="s">
        <v>525</v>
      </c>
      <c r="J66" s="203" t="s">
        <v>743</v>
      </c>
      <c r="K66" s="204" t="s">
        <v>526</v>
      </c>
      <c r="L66" s="203" t="s">
        <v>743</v>
      </c>
      <c r="M66" s="205" t="s">
        <v>527</v>
      </c>
      <c r="N66" s="205" t="s">
        <v>528</v>
      </c>
      <c r="O66" s="203" t="s">
        <v>743</v>
      </c>
      <c r="P66" s="204" t="s">
        <v>522</v>
      </c>
      <c r="Q66" s="203" t="s">
        <v>743</v>
      </c>
      <c r="R66" s="205" t="s">
        <v>529</v>
      </c>
      <c r="S66" s="205" t="s">
        <v>530</v>
      </c>
      <c r="T66" s="203" t="s">
        <v>743</v>
      </c>
      <c r="U66" s="204" t="s">
        <v>531</v>
      </c>
      <c r="V66" s="203" t="s">
        <v>743</v>
      </c>
      <c r="W66" s="205" t="s">
        <v>532</v>
      </c>
      <c r="X66" s="205" t="s">
        <v>533</v>
      </c>
      <c r="Y66" s="203" t="s">
        <v>743</v>
      </c>
      <c r="Z66" s="204" t="s">
        <v>15</v>
      </c>
      <c r="AA66" s="203"/>
      <c r="AD66" s="203"/>
    </row>
    <row r="67" spans="1:30" x14ac:dyDescent="0.25">
      <c r="A67" s="214" t="s">
        <v>15</v>
      </c>
      <c r="B67" s="214" t="s">
        <v>648</v>
      </c>
      <c r="C67" s="210" t="s">
        <v>680</v>
      </c>
      <c r="D67" s="201" t="s">
        <v>790</v>
      </c>
      <c r="E67" s="189"/>
      <c r="F67" s="204" t="s">
        <v>15</v>
      </c>
      <c r="G67" s="203" t="s">
        <v>743</v>
      </c>
      <c r="H67" s="205" t="s">
        <v>532</v>
      </c>
      <c r="I67" s="205" t="s">
        <v>680</v>
      </c>
      <c r="J67" s="203" t="s">
        <v>743</v>
      </c>
      <c r="K67" s="204" t="s">
        <v>648</v>
      </c>
      <c r="L67" s="203"/>
      <c r="O67" s="176"/>
      <c r="Q67" s="176"/>
      <c r="T67" s="176"/>
      <c r="AA67" s="202"/>
    </row>
    <row r="68" spans="1:30" x14ac:dyDescent="0.25">
      <c r="A68" s="214" t="s">
        <v>15</v>
      </c>
      <c r="B68" s="214" t="s">
        <v>4</v>
      </c>
      <c r="C68" s="210" t="s">
        <v>681</v>
      </c>
      <c r="D68" s="201" t="s">
        <v>749</v>
      </c>
      <c r="E68" s="189"/>
      <c r="F68" s="204" t="s">
        <v>15</v>
      </c>
      <c r="G68" s="203" t="s">
        <v>743</v>
      </c>
      <c r="H68" s="205" t="s">
        <v>532</v>
      </c>
      <c r="I68" s="205" t="s">
        <v>533</v>
      </c>
      <c r="J68" s="203" t="s">
        <v>743</v>
      </c>
      <c r="K68" s="204" t="s">
        <v>531</v>
      </c>
      <c r="L68" s="203" t="s">
        <v>743</v>
      </c>
      <c r="M68" s="205" t="s">
        <v>529</v>
      </c>
      <c r="N68" s="205" t="s">
        <v>530</v>
      </c>
      <c r="O68" s="203" t="s">
        <v>743</v>
      </c>
      <c r="P68" s="204" t="s">
        <v>522</v>
      </c>
      <c r="Q68" s="203" t="s">
        <v>743</v>
      </c>
      <c r="R68" s="205" t="s">
        <v>527</v>
      </c>
      <c r="S68" s="205" t="s">
        <v>528</v>
      </c>
      <c r="T68" s="203" t="s">
        <v>743</v>
      </c>
      <c r="U68" s="204" t="s">
        <v>526</v>
      </c>
      <c r="V68" s="203" t="s">
        <v>743</v>
      </c>
      <c r="W68" s="205" t="s">
        <v>524</v>
      </c>
      <c r="X68" s="205" t="s">
        <v>525</v>
      </c>
      <c r="Y68" s="203" t="s">
        <v>743</v>
      </c>
      <c r="Z68" s="204" t="s">
        <v>4</v>
      </c>
      <c r="AA68" s="203"/>
      <c r="AD68" s="203"/>
    </row>
    <row r="69" spans="1:30" x14ac:dyDescent="0.25">
      <c r="A69" s="214" t="s">
        <v>653</v>
      </c>
      <c r="B69" s="214" t="s">
        <v>655</v>
      </c>
      <c r="C69" s="210" t="s">
        <v>716</v>
      </c>
      <c r="D69" s="201" t="s">
        <v>792</v>
      </c>
      <c r="E69" s="189"/>
      <c r="F69" s="204" t="s">
        <v>653</v>
      </c>
      <c r="G69" s="203" t="s">
        <v>743</v>
      </c>
      <c r="H69" s="205" t="s">
        <v>822</v>
      </c>
      <c r="I69" s="205" t="s">
        <v>716</v>
      </c>
      <c r="J69" s="203" t="s">
        <v>743</v>
      </c>
      <c r="K69" s="204" t="s">
        <v>655</v>
      </c>
      <c r="L69" s="203"/>
      <c r="O69" s="176"/>
      <c r="Q69" s="176"/>
      <c r="T69" s="176"/>
    </row>
    <row r="70" spans="1:30" x14ac:dyDescent="0.25">
      <c r="A70" s="214" t="s">
        <v>660</v>
      </c>
      <c r="B70" s="214" t="s">
        <v>662</v>
      </c>
      <c r="C70" s="210" t="s">
        <v>717</v>
      </c>
      <c r="D70" s="201" t="s">
        <v>793</v>
      </c>
      <c r="E70" s="189"/>
      <c r="F70" s="204" t="s">
        <v>660</v>
      </c>
      <c r="G70" s="203" t="s">
        <v>743</v>
      </c>
      <c r="H70" s="205" t="s">
        <v>823</v>
      </c>
      <c r="I70" s="205" t="s">
        <v>824</v>
      </c>
      <c r="J70" s="203" t="s">
        <v>743</v>
      </c>
      <c r="K70" s="204" t="s">
        <v>741</v>
      </c>
      <c r="L70" s="203" t="s">
        <v>743</v>
      </c>
      <c r="M70" s="205" t="s">
        <v>848</v>
      </c>
      <c r="N70" s="205" t="s">
        <v>849</v>
      </c>
      <c r="O70" s="203" t="s">
        <v>743</v>
      </c>
      <c r="P70" s="204" t="s">
        <v>742</v>
      </c>
      <c r="Q70" s="203" t="s">
        <v>743</v>
      </c>
      <c r="R70" s="205" t="s">
        <v>825</v>
      </c>
      <c r="S70" s="205" t="s">
        <v>855</v>
      </c>
      <c r="T70" s="203" t="s">
        <v>743</v>
      </c>
      <c r="U70" s="204" t="s">
        <v>662</v>
      </c>
      <c r="V70" s="202"/>
      <c r="AA70" s="202"/>
    </row>
    <row r="71" spans="1:30" x14ac:dyDescent="0.25">
      <c r="A71" s="214" t="s">
        <v>662</v>
      </c>
      <c r="B71" s="214" t="s">
        <v>668</v>
      </c>
      <c r="C71" s="210" t="s">
        <v>706</v>
      </c>
      <c r="D71" s="201" t="s">
        <v>794</v>
      </c>
      <c r="E71" s="189"/>
      <c r="F71" s="204" t="s">
        <v>662</v>
      </c>
      <c r="G71" s="203" t="s">
        <v>743</v>
      </c>
      <c r="H71" s="205" t="s">
        <v>825</v>
      </c>
      <c r="I71" s="205" t="s">
        <v>706</v>
      </c>
      <c r="J71" s="203" t="s">
        <v>743</v>
      </c>
      <c r="K71" s="204" t="s">
        <v>668</v>
      </c>
      <c r="L71" s="203"/>
      <c r="O71" s="176"/>
      <c r="Q71" s="176"/>
      <c r="T71" s="176"/>
    </row>
    <row r="72" spans="1:30" x14ac:dyDescent="0.25">
      <c r="J72" s="206"/>
      <c r="L72" s="206"/>
      <c r="O72" s="206"/>
      <c r="Q72" s="206"/>
      <c r="T72" s="206"/>
      <c r="AA72" s="202"/>
    </row>
    <row r="73" spans="1:30" x14ac:dyDescent="0.25">
      <c r="J73" s="206"/>
      <c r="L73" s="206"/>
      <c r="O73" s="206"/>
      <c r="Q73" s="206"/>
      <c r="T73" s="206"/>
      <c r="AA73" s="202"/>
    </row>
    <row r="74" spans="1:30" x14ac:dyDescent="0.25">
      <c r="J74" s="206"/>
      <c r="L74" s="206"/>
      <c r="O74" s="206"/>
      <c r="Q74" s="206"/>
      <c r="T74" s="206"/>
      <c r="AA74" s="202"/>
    </row>
    <row r="75" spans="1:30" x14ac:dyDescent="0.25">
      <c r="J75" s="206"/>
      <c r="L75" s="206"/>
      <c r="O75" s="206"/>
      <c r="Q75" s="206"/>
      <c r="T75" s="206"/>
      <c r="AA75" s="202"/>
    </row>
    <row r="76" spans="1:30" x14ac:dyDescent="0.25">
      <c r="J76" s="206"/>
      <c r="L76" s="206"/>
      <c r="O76" s="206"/>
      <c r="Q76" s="206"/>
      <c r="T76" s="206"/>
      <c r="AA76" s="202"/>
    </row>
    <row r="77" spans="1:30" x14ac:dyDescent="0.25">
      <c r="J77" s="206"/>
      <c r="L77" s="206"/>
      <c r="O77" s="206"/>
      <c r="Q77" s="206"/>
      <c r="T77" s="206"/>
      <c r="AA77" s="202"/>
    </row>
    <row r="78" spans="1:30" x14ac:dyDescent="0.25">
      <c r="J78" s="206"/>
      <c r="L78" s="206"/>
      <c r="O78" s="206"/>
      <c r="Q78" s="206"/>
      <c r="T78" s="206"/>
      <c r="AA78" s="202"/>
    </row>
    <row r="79" spans="1:30" x14ac:dyDescent="0.25">
      <c r="J79" s="206"/>
      <c r="L79" s="206"/>
      <c r="O79" s="206"/>
      <c r="Q79" s="206"/>
      <c r="T79" s="206"/>
      <c r="AA79" s="202"/>
    </row>
    <row r="80" spans="1:30" x14ac:dyDescent="0.25">
      <c r="J80" s="206"/>
      <c r="L80" s="206"/>
      <c r="O80" s="206"/>
      <c r="Q80" s="206"/>
      <c r="T80" s="206"/>
      <c r="AA80" s="202"/>
    </row>
    <row r="81" spans="10:27" x14ac:dyDescent="0.25">
      <c r="J81" s="206"/>
      <c r="L81" s="206"/>
      <c r="O81" s="206"/>
      <c r="Q81" s="206"/>
      <c r="T81" s="206"/>
      <c r="AA81" s="202"/>
    </row>
    <row r="82" spans="10:27" x14ac:dyDescent="0.25">
      <c r="J82" s="206"/>
      <c r="L82" s="206"/>
      <c r="O82" s="206"/>
      <c r="Q82" s="206"/>
      <c r="T82" s="206"/>
      <c r="AA82" s="202"/>
    </row>
    <row r="83" spans="10:27" x14ac:dyDescent="0.25">
      <c r="J83" s="206"/>
      <c r="L83" s="206"/>
      <c r="O83" s="206"/>
      <c r="Q83" s="206"/>
      <c r="T83" s="206"/>
      <c r="AA83" s="202"/>
    </row>
    <row r="84" spans="10:27" x14ac:dyDescent="0.25">
      <c r="J84" s="206"/>
      <c r="L84" s="206"/>
      <c r="O84" s="206"/>
      <c r="Q84" s="206"/>
      <c r="T84" s="206"/>
      <c r="AA84" s="202"/>
    </row>
    <row r="85" spans="10:27" x14ac:dyDescent="0.25">
      <c r="J85" s="206"/>
      <c r="L85" s="206"/>
      <c r="O85" s="206"/>
      <c r="Q85" s="206"/>
      <c r="T85" s="206"/>
      <c r="AA85" s="202"/>
    </row>
    <row r="86" spans="10:27" x14ac:dyDescent="0.25">
      <c r="J86" s="206"/>
      <c r="L86" s="206"/>
      <c r="O86" s="206"/>
      <c r="Q86" s="206"/>
      <c r="T86" s="206"/>
      <c r="AA86" s="202"/>
    </row>
    <row r="87" spans="10:27" x14ac:dyDescent="0.25">
      <c r="J87" s="206"/>
      <c r="L87" s="206"/>
      <c r="O87" s="206"/>
      <c r="Q87" s="206"/>
      <c r="T87" s="206"/>
      <c r="AA87" s="202"/>
    </row>
    <row r="88" spans="10:27" x14ac:dyDescent="0.25">
      <c r="J88" s="206"/>
      <c r="L88" s="206"/>
      <c r="O88" s="206"/>
      <c r="Q88" s="206"/>
      <c r="T88" s="206"/>
      <c r="AA88" s="202"/>
    </row>
    <row r="89" spans="10:27" x14ac:dyDescent="0.25">
      <c r="J89" s="206"/>
      <c r="L89" s="206"/>
      <c r="O89" s="206"/>
      <c r="Q89" s="206"/>
      <c r="T89" s="206"/>
      <c r="AA89" s="202"/>
    </row>
    <row r="90" spans="10:27" x14ac:dyDescent="0.25">
      <c r="J90" s="206"/>
      <c r="L90" s="206"/>
      <c r="O90" s="206"/>
      <c r="Q90" s="206"/>
      <c r="T90" s="206"/>
      <c r="AA90" s="202"/>
    </row>
    <row r="91" spans="10:27" x14ac:dyDescent="0.25">
      <c r="J91" s="206"/>
      <c r="L91" s="206"/>
      <c r="O91" s="206"/>
      <c r="Q91" s="206"/>
      <c r="T91" s="206"/>
      <c r="AA91" s="202"/>
    </row>
    <row r="92" spans="10:27" x14ac:dyDescent="0.25">
      <c r="J92" s="206"/>
      <c r="L92" s="206"/>
      <c r="O92" s="206"/>
      <c r="Q92" s="206"/>
      <c r="T92" s="206"/>
      <c r="AA92" s="202"/>
    </row>
    <row r="93" spans="10:27" x14ac:dyDescent="0.25">
      <c r="J93" s="206"/>
      <c r="L93" s="206"/>
      <c r="O93" s="206"/>
      <c r="Q93" s="206"/>
      <c r="T93" s="206"/>
      <c r="AA93" s="202"/>
    </row>
    <row r="94" spans="10:27" x14ac:dyDescent="0.25">
      <c r="J94" s="206"/>
      <c r="L94" s="206"/>
      <c r="O94" s="206"/>
      <c r="Q94" s="206"/>
      <c r="T94" s="206"/>
      <c r="AA94" s="202"/>
    </row>
    <row r="95" spans="10:27" x14ac:dyDescent="0.25">
      <c r="J95" s="206"/>
      <c r="L95" s="206"/>
      <c r="O95" s="206"/>
      <c r="Q95" s="206"/>
      <c r="T95" s="206"/>
      <c r="AA95" s="202"/>
    </row>
    <row r="96" spans="10:27" x14ac:dyDescent="0.25">
      <c r="J96" s="206"/>
      <c r="L96" s="206"/>
      <c r="O96" s="206"/>
      <c r="Q96" s="206"/>
      <c r="T96" s="206"/>
      <c r="AA96" s="202"/>
    </row>
    <row r="97" spans="10:27" x14ac:dyDescent="0.25">
      <c r="J97" s="206"/>
      <c r="L97" s="206"/>
      <c r="O97" s="206"/>
      <c r="Q97" s="206"/>
      <c r="T97" s="206"/>
      <c r="AA97" s="202"/>
    </row>
    <row r="98" spans="10:27" x14ac:dyDescent="0.25">
      <c r="J98" s="206"/>
      <c r="L98" s="206"/>
      <c r="O98" s="206"/>
      <c r="Q98" s="206"/>
      <c r="T98" s="206"/>
      <c r="AA98" s="202"/>
    </row>
    <row r="99" spans="10:27" x14ac:dyDescent="0.25">
      <c r="J99" s="206"/>
      <c r="L99" s="206"/>
      <c r="O99" s="206"/>
      <c r="Q99" s="206"/>
      <c r="T99" s="206"/>
      <c r="AA99" s="202"/>
    </row>
    <row r="100" spans="10:27" x14ac:dyDescent="0.25">
      <c r="J100" s="206"/>
      <c r="L100" s="206"/>
      <c r="O100" s="206"/>
      <c r="Q100" s="206"/>
      <c r="T100" s="206"/>
      <c r="AA100" s="202"/>
    </row>
    <row r="101" spans="10:27" x14ac:dyDescent="0.25">
      <c r="J101" s="206"/>
      <c r="L101" s="206"/>
      <c r="O101" s="206"/>
      <c r="Q101" s="206"/>
      <c r="T101" s="206"/>
      <c r="AA101" s="202"/>
    </row>
    <row r="102" spans="10:27" x14ac:dyDescent="0.25">
      <c r="J102" s="206"/>
      <c r="L102" s="206"/>
      <c r="O102" s="206"/>
      <c r="Q102" s="206"/>
      <c r="T102" s="206"/>
      <c r="AA102" s="202"/>
    </row>
    <row r="103" spans="10:27" x14ac:dyDescent="0.25">
      <c r="J103" s="206"/>
      <c r="L103" s="206"/>
      <c r="O103" s="206"/>
      <c r="Q103" s="206"/>
      <c r="T103" s="206"/>
      <c r="AA103" s="202"/>
    </row>
    <row r="104" spans="10:27" x14ac:dyDescent="0.25">
      <c r="J104" s="206"/>
      <c r="L104" s="206"/>
      <c r="O104" s="206"/>
      <c r="Q104" s="206"/>
      <c r="T104" s="206"/>
      <c r="AA104" s="202"/>
    </row>
    <row r="105" spans="10:27" x14ac:dyDescent="0.25">
      <c r="J105" s="206"/>
      <c r="L105" s="206"/>
      <c r="O105" s="206"/>
      <c r="Q105" s="206"/>
      <c r="T105" s="206"/>
      <c r="AA105" s="202"/>
    </row>
    <row r="106" spans="10:27" x14ac:dyDescent="0.25">
      <c r="J106" s="206"/>
      <c r="L106" s="206"/>
      <c r="O106" s="206"/>
      <c r="Q106" s="206"/>
      <c r="T106" s="206"/>
      <c r="AA106" s="202"/>
    </row>
    <row r="107" spans="10:27" x14ac:dyDescent="0.25">
      <c r="J107" s="206"/>
      <c r="L107" s="206"/>
      <c r="O107" s="206"/>
      <c r="Q107" s="206"/>
      <c r="T107" s="206"/>
      <c r="AA107" s="202"/>
    </row>
    <row r="108" spans="10:27" x14ac:dyDescent="0.25">
      <c r="J108" s="206"/>
      <c r="L108" s="206"/>
      <c r="O108" s="206"/>
      <c r="Q108" s="206"/>
      <c r="T108" s="206"/>
      <c r="AA108" s="202"/>
    </row>
    <row r="109" spans="10:27" x14ac:dyDescent="0.25">
      <c r="J109" s="206"/>
      <c r="L109" s="206"/>
      <c r="O109" s="206"/>
      <c r="Q109" s="206"/>
      <c r="T109" s="206"/>
      <c r="AA109" s="202"/>
    </row>
    <row r="110" spans="10:27" x14ac:dyDescent="0.25">
      <c r="J110" s="206"/>
      <c r="L110" s="206"/>
      <c r="O110" s="206"/>
      <c r="Q110" s="206"/>
      <c r="T110" s="206"/>
      <c r="AA110" s="202"/>
    </row>
    <row r="111" spans="10:27" x14ac:dyDescent="0.25">
      <c r="J111" s="206"/>
      <c r="L111" s="206"/>
      <c r="O111" s="206"/>
      <c r="Q111" s="206"/>
      <c r="T111" s="206"/>
      <c r="AA111" s="202"/>
    </row>
    <row r="112" spans="10:27" x14ac:dyDescent="0.25">
      <c r="J112" s="206"/>
      <c r="L112" s="206"/>
      <c r="O112" s="206"/>
      <c r="Q112" s="206"/>
      <c r="T112" s="206"/>
      <c r="AA112" s="202"/>
    </row>
    <row r="113" spans="10:27" x14ac:dyDescent="0.25">
      <c r="J113" s="206"/>
      <c r="L113" s="206"/>
      <c r="O113" s="206"/>
      <c r="Q113" s="206"/>
      <c r="T113" s="206"/>
      <c r="AA113" s="202"/>
    </row>
    <row r="114" spans="10:27" x14ac:dyDescent="0.25">
      <c r="J114" s="206"/>
      <c r="L114" s="206"/>
      <c r="O114" s="206"/>
      <c r="Q114" s="206"/>
      <c r="T114" s="206"/>
      <c r="AA114" s="202"/>
    </row>
    <row r="115" spans="10:27" x14ac:dyDescent="0.25">
      <c r="J115" s="206"/>
      <c r="L115" s="206"/>
      <c r="O115" s="206"/>
      <c r="Q115" s="206"/>
      <c r="T115" s="206"/>
      <c r="AA115" s="202"/>
    </row>
    <row r="116" spans="10:27" x14ac:dyDescent="0.25">
      <c r="J116" s="206"/>
      <c r="L116" s="206"/>
      <c r="O116" s="206"/>
      <c r="Q116" s="206"/>
      <c r="T116" s="206"/>
      <c r="AA116" s="202"/>
    </row>
    <row r="117" spans="10:27" x14ac:dyDescent="0.25">
      <c r="J117" s="206"/>
      <c r="L117" s="206"/>
      <c r="O117" s="206"/>
      <c r="Q117" s="206"/>
      <c r="T117" s="206"/>
      <c r="AA117" s="202"/>
    </row>
    <row r="118" spans="10:27" x14ac:dyDescent="0.25">
      <c r="J118" s="206"/>
      <c r="L118" s="206"/>
      <c r="O118" s="206"/>
      <c r="Q118" s="206"/>
      <c r="T118" s="206"/>
      <c r="AA118" s="202"/>
    </row>
    <row r="119" spans="10:27" x14ac:dyDescent="0.25">
      <c r="J119" s="206"/>
      <c r="L119" s="206"/>
      <c r="O119" s="206"/>
      <c r="Q119" s="206"/>
      <c r="T119" s="206"/>
      <c r="AA119" s="202"/>
    </row>
    <row r="120" spans="10:27" x14ac:dyDescent="0.25">
      <c r="J120" s="206"/>
      <c r="L120" s="206"/>
      <c r="O120" s="206"/>
      <c r="Q120" s="206"/>
      <c r="T120" s="206"/>
      <c r="AA120" s="202"/>
    </row>
    <row r="121" spans="10:27" x14ac:dyDescent="0.25">
      <c r="J121" s="206"/>
      <c r="L121" s="206"/>
      <c r="O121" s="206"/>
      <c r="Q121" s="206"/>
      <c r="T121" s="206"/>
      <c r="AA121" s="202"/>
    </row>
    <row r="122" spans="10:27" x14ac:dyDescent="0.25">
      <c r="J122" s="206"/>
      <c r="L122" s="206"/>
      <c r="O122" s="206"/>
      <c r="Q122" s="206"/>
      <c r="T122" s="206"/>
      <c r="AA122" s="202"/>
    </row>
    <row r="123" spans="10:27" x14ac:dyDescent="0.25">
      <c r="J123" s="206"/>
      <c r="L123" s="206"/>
      <c r="O123" s="206"/>
      <c r="Q123" s="206"/>
      <c r="T123" s="206"/>
      <c r="AA123" s="202"/>
    </row>
    <row r="124" spans="10:27" x14ac:dyDescent="0.25">
      <c r="J124" s="206"/>
      <c r="L124" s="206"/>
      <c r="O124" s="206"/>
      <c r="Q124" s="206"/>
      <c r="T124" s="206"/>
      <c r="AA124" s="202"/>
    </row>
    <row r="125" spans="10:27" x14ac:dyDescent="0.25">
      <c r="J125" s="206"/>
      <c r="L125" s="206"/>
      <c r="O125" s="206"/>
      <c r="Q125" s="206"/>
      <c r="T125" s="206"/>
      <c r="AA125" s="202"/>
    </row>
    <row r="126" spans="10:27" x14ac:dyDescent="0.25">
      <c r="J126" s="206"/>
      <c r="L126" s="206"/>
      <c r="O126" s="206"/>
      <c r="Q126" s="206"/>
      <c r="T126" s="206"/>
      <c r="AA126" s="202"/>
    </row>
    <row r="127" spans="10:27" x14ac:dyDescent="0.25">
      <c r="J127" s="206"/>
      <c r="L127" s="206"/>
      <c r="O127" s="206"/>
      <c r="Q127" s="206"/>
      <c r="T127" s="206"/>
      <c r="AA127" s="202"/>
    </row>
    <row r="128" spans="10:27" x14ac:dyDescent="0.25">
      <c r="J128" s="206"/>
      <c r="L128" s="206"/>
      <c r="O128" s="206"/>
      <c r="Q128" s="206"/>
      <c r="T128" s="206"/>
      <c r="AA128" s="202"/>
    </row>
    <row r="129" spans="10:27" x14ac:dyDescent="0.25">
      <c r="J129" s="206"/>
      <c r="L129" s="206"/>
      <c r="O129" s="206"/>
      <c r="Q129" s="206"/>
      <c r="T129" s="206"/>
      <c r="AA129" s="202"/>
    </row>
    <row r="130" spans="10:27" x14ac:dyDescent="0.25">
      <c r="J130" s="206"/>
      <c r="L130" s="206"/>
      <c r="O130" s="206"/>
      <c r="Q130" s="206"/>
      <c r="T130" s="206"/>
      <c r="AA130" s="202"/>
    </row>
    <row r="131" spans="10:27" x14ac:dyDescent="0.25">
      <c r="J131" s="206"/>
      <c r="L131" s="206"/>
      <c r="O131" s="206"/>
      <c r="Q131" s="206"/>
      <c r="T131" s="206"/>
      <c r="AA131" s="202"/>
    </row>
    <row r="132" spans="10:27" x14ac:dyDescent="0.25">
      <c r="J132" s="206"/>
      <c r="L132" s="206"/>
      <c r="O132" s="206"/>
      <c r="Q132" s="206"/>
      <c r="T132" s="206"/>
      <c r="AA132" s="202"/>
    </row>
    <row r="133" spans="10:27" x14ac:dyDescent="0.25">
      <c r="J133" s="206"/>
      <c r="L133" s="206"/>
      <c r="O133" s="206"/>
      <c r="Q133" s="206"/>
      <c r="T133" s="206"/>
      <c r="AA133" s="202"/>
    </row>
    <row r="134" spans="10:27" x14ac:dyDescent="0.25">
      <c r="J134" s="206"/>
      <c r="L134" s="206"/>
      <c r="O134" s="206"/>
      <c r="Q134" s="206"/>
      <c r="T134" s="206"/>
      <c r="AA134" s="202"/>
    </row>
    <row r="135" spans="10:27" x14ac:dyDescent="0.25">
      <c r="J135" s="206"/>
      <c r="L135" s="206"/>
      <c r="O135" s="206"/>
      <c r="Q135" s="206"/>
      <c r="T135" s="206"/>
      <c r="AA135" s="202"/>
    </row>
    <row r="136" spans="10:27" x14ac:dyDescent="0.25">
      <c r="J136" s="206"/>
      <c r="L136" s="206"/>
      <c r="O136" s="206"/>
      <c r="Q136" s="206"/>
      <c r="T136" s="206"/>
      <c r="AA136" s="202"/>
    </row>
    <row r="137" spans="10:27" x14ac:dyDescent="0.25">
      <c r="J137" s="206"/>
      <c r="L137" s="206"/>
      <c r="O137" s="206"/>
      <c r="Q137" s="206"/>
      <c r="T137" s="206"/>
      <c r="AA137" s="202"/>
    </row>
    <row r="138" spans="10:27" x14ac:dyDescent="0.25">
      <c r="J138" s="206"/>
      <c r="L138" s="206"/>
      <c r="O138" s="206"/>
      <c r="Q138" s="206"/>
      <c r="T138" s="206"/>
      <c r="AA138" s="202"/>
    </row>
    <row r="139" spans="10:27" x14ac:dyDescent="0.25">
      <c r="J139" s="206"/>
      <c r="L139" s="206"/>
      <c r="O139" s="206"/>
      <c r="Q139" s="206"/>
      <c r="T139" s="206"/>
      <c r="AA139" s="202"/>
    </row>
    <row r="140" spans="10:27" x14ac:dyDescent="0.25">
      <c r="J140" s="206"/>
      <c r="L140" s="206"/>
      <c r="O140" s="206"/>
      <c r="Q140" s="206"/>
      <c r="T140" s="206"/>
      <c r="AA140" s="202"/>
    </row>
    <row r="141" spans="10:27" x14ac:dyDescent="0.25">
      <c r="J141" s="206"/>
      <c r="L141" s="206"/>
      <c r="O141" s="206"/>
      <c r="Q141" s="206"/>
      <c r="T141" s="206"/>
      <c r="AA141" s="202"/>
    </row>
    <row r="142" spans="10:27" x14ac:dyDescent="0.25">
      <c r="J142" s="206"/>
      <c r="L142" s="206"/>
      <c r="O142" s="206"/>
      <c r="Q142" s="206"/>
      <c r="T142" s="206"/>
      <c r="AA142" s="202"/>
    </row>
    <row r="143" spans="10:27" x14ac:dyDescent="0.25">
      <c r="J143" s="206"/>
      <c r="L143" s="206"/>
      <c r="O143" s="206"/>
      <c r="Q143" s="206"/>
      <c r="T143" s="206"/>
      <c r="AA143" s="202"/>
    </row>
    <row r="144" spans="10:27" x14ac:dyDescent="0.25">
      <c r="J144" s="206"/>
      <c r="L144" s="206"/>
      <c r="O144" s="206"/>
      <c r="Q144" s="206"/>
      <c r="T144" s="206"/>
      <c r="AA144" s="202"/>
    </row>
    <row r="145" spans="10:27" x14ac:dyDescent="0.25">
      <c r="J145" s="206"/>
      <c r="L145" s="206"/>
      <c r="O145" s="206"/>
      <c r="Q145" s="206"/>
      <c r="T145" s="206"/>
      <c r="AA145" s="202"/>
    </row>
    <row r="146" spans="10:27" x14ac:dyDescent="0.25">
      <c r="J146" s="206"/>
      <c r="L146" s="206"/>
      <c r="O146" s="206"/>
      <c r="Q146" s="206"/>
      <c r="T146" s="206"/>
      <c r="AA146" s="202"/>
    </row>
    <row r="147" spans="10:27" x14ac:dyDescent="0.25">
      <c r="J147" s="206"/>
      <c r="L147" s="206"/>
      <c r="O147" s="206"/>
      <c r="Q147" s="206"/>
      <c r="T147" s="206"/>
      <c r="AA147" s="202"/>
    </row>
    <row r="148" spans="10:27" x14ac:dyDescent="0.25">
      <c r="J148" s="206"/>
      <c r="L148" s="206"/>
      <c r="O148" s="206"/>
      <c r="Q148" s="206"/>
      <c r="T148" s="206"/>
      <c r="AA148" s="202"/>
    </row>
    <row r="149" spans="10:27" x14ac:dyDescent="0.25">
      <c r="J149" s="206"/>
      <c r="L149" s="206"/>
      <c r="O149" s="206"/>
      <c r="Q149" s="206"/>
      <c r="T149" s="206"/>
      <c r="AA149" s="202"/>
    </row>
    <row r="150" spans="10:27" x14ac:dyDescent="0.25">
      <c r="J150" s="206"/>
      <c r="L150" s="206"/>
      <c r="O150" s="206"/>
      <c r="Q150" s="206"/>
      <c r="T150" s="206"/>
      <c r="AA150" s="202"/>
    </row>
    <row r="151" spans="10:27" x14ac:dyDescent="0.25">
      <c r="J151" s="206"/>
      <c r="L151" s="206"/>
      <c r="O151" s="206"/>
      <c r="Q151" s="206"/>
      <c r="T151" s="206"/>
      <c r="AA151" s="202"/>
    </row>
    <row r="152" spans="10:27" x14ac:dyDescent="0.25">
      <c r="J152" s="206"/>
      <c r="L152" s="206"/>
      <c r="O152" s="206"/>
      <c r="Q152" s="206"/>
      <c r="T152" s="206"/>
      <c r="AA152" s="202"/>
    </row>
    <row r="153" spans="10:27" x14ac:dyDescent="0.25">
      <c r="J153" s="206"/>
      <c r="L153" s="206"/>
      <c r="O153" s="206"/>
      <c r="Q153" s="206"/>
      <c r="T153" s="206"/>
      <c r="AA153" s="202"/>
    </row>
    <row r="154" spans="10:27" x14ac:dyDescent="0.25">
      <c r="J154" s="206"/>
      <c r="L154" s="206"/>
      <c r="O154" s="206"/>
      <c r="Q154" s="206"/>
      <c r="T154" s="206"/>
      <c r="AA154" s="202"/>
    </row>
    <row r="155" spans="10:27" x14ac:dyDescent="0.25">
      <c r="J155" s="206"/>
      <c r="L155" s="206"/>
      <c r="O155" s="206"/>
      <c r="Q155" s="206"/>
      <c r="T155" s="206"/>
      <c r="AA155" s="202"/>
    </row>
    <row r="156" spans="10:27" x14ac:dyDescent="0.25">
      <c r="J156" s="206"/>
      <c r="L156" s="206"/>
      <c r="O156" s="206"/>
      <c r="Q156" s="206"/>
      <c r="T156" s="206"/>
      <c r="AA156" s="202"/>
    </row>
    <row r="157" spans="10:27" x14ac:dyDescent="0.25">
      <c r="J157" s="206"/>
      <c r="L157" s="206"/>
      <c r="O157" s="206"/>
      <c r="Q157" s="206"/>
      <c r="T157" s="206"/>
      <c r="AA157" s="202"/>
    </row>
    <row r="158" spans="10:27" x14ac:dyDescent="0.25">
      <c r="J158" s="206"/>
      <c r="L158" s="206"/>
      <c r="O158" s="206"/>
      <c r="Q158" s="206"/>
      <c r="T158" s="206"/>
      <c r="AA158" s="202"/>
    </row>
    <row r="159" spans="10:27" x14ac:dyDescent="0.25">
      <c r="J159" s="206"/>
      <c r="L159" s="206"/>
      <c r="O159" s="206"/>
      <c r="Q159" s="206"/>
      <c r="T159" s="206"/>
      <c r="AA159" s="202"/>
    </row>
    <row r="160" spans="10:27" x14ac:dyDescent="0.25">
      <c r="J160" s="206"/>
      <c r="L160" s="206"/>
      <c r="O160" s="206"/>
      <c r="Q160" s="206"/>
      <c r="T160" s="206"/>
      <c r="AA160" s="202"/>
    </row>
    <row r="161" spans="10:27" x14ac:dyDescent="0.25">
      <c r="J161" s="206"/>
      <c r="L161" s="206"/>
      <c r="O161" s="206"/>
      <c r="Q161" s="206"/>
      <c r="T161" s="206"/>
      <c r="AA161" s="202"/>
    </row>
    <row r="162" spans="10:27" x14ac:dyDescent="0.25">
      <c r="J162" s="206"/>
      <c r="L162" s="206"/>
      <c r="O162" s="206"/>
      <c r="Q162" s="206"/>
      <c r="T162" s="206"/>
      <c r="AA162" s="202"/>
    </row>
    <row r="163" spans="10:27" x14ac:dyDescent="0.25">
      <c r="J163" s="206"/>
      <c r="L163" s="206"/>
      <c r="O163" s="206"/>
      <c r="Q163" s="206"/>
      <c r="T163" s="206"/>
      <c r="AA163" s="202"/>
    </row>
    <row r="164" spans="10:27" x14ac:dyDescent="0.25">
      <c r="J164" s="206"/>
      <c r="L164" s="206"/>
      <c r="O164" s="206"/>
      <c r="Q164" s="206"/>
      <c r="T164" s="206"/>
      <c r="AA164" s="202"/>
    </row>
    <row r="165" spans="10:27" x14ac:dyDescent="0.25">
      <c r="J165" s="206"/>
      <c r="L165" s="206"/>
      <c r="O165" s="206"/>
      <c r="Q165" s="206"/>
      <c r="T165" s="206"/>
      <c r="AA165" s="202"/>
    </row>
    <row r="166" spans="10:27" x14ac:dyDescent="0.25">
      <c r="J166" s="206"/>
      <c r="L166" s="206"/>
      <c r="O166" s="206"/>
      <c r="Q166" s="206"/>
      <c r="T166" s="206"/>
      <c r="AA166" s="202"/>
    </row>
    <row r="167" spans="10:27" x14ac:dyDescent="0.25">
      <c r="J167" s="206"/>
      <c r="L167" s="206"/>
      <c r="O167" s="206"/>
      <c r="Q167" s="206"/>
      <c r="T167" s="206"/>
      <c r="AA167" s="202"/>
    </row>
    <row r="168" spans="10:27" x14ac:dyDescent="0.25">
      <c r="J168" s="206"/>
      <c r="L168" s="206"/>
      <c r="O168" s="206"/>
      <c r="Q168" s="206"/>
      <c r="T168" s="206"/>
      <c r="AA168" s="202"/>
    </row>
    <row r="169" spans="10:27" x14ac:dyDescent="0.25">
      <c r="J169" s="206"/>
      <c r="L169" s="206"/>
      <c r="O169" s="206"/>
      <c r="Q169" s="206"/>
      <c r="T169" s="206"/>
      <c r="AA169" s="202"/>
    </row>
    <row r="170" spans="10:27" x14ac:dyDescent="0.25">
      <c r="J170" s="206"/>
      <c r="L170" s="206"/>
      <c r="O170" s="206"/>
      <c r="Q170" s="206"/>
      <c r="T170" s="206"/>
      <c r="AA170" s="202"/>
    </row>
    <row r="171" spans="10:27" x14ac:dyDescent="0.25">
      <c r="J171" s="206"/>
      <c r="L171" s="206"/>
      <c r="O171" s="206"/>
      <c r="Q171" s="206"/>
      <c r="T171" s="206"/>
      <c r="AA171" s="202"/>
    </row>
    <row r="172" spans="10:27" x14ac:dyDescent="0.25">
      <c r="J172" s="206"/>
      <c r="L172" s="206"/>
      <c r="O172" s="206"/>
      <c r="Q172" s="206"/>
      <c r="T172" s="206"/>
      <c r="AA172" s="202"/>
    </row>
    <row r="173" spans="10:27" x14ac:dyDescent="0.25">
      <c r="J173" s="206"/>
      <c r="L173" s="206"/>
      <c r="O173" s="206"/>
      <c r="Q173" s="206"/>
      <c r="T173" s="206"/>
      <c r="AA173" s="202"/>
    </row>
    <row r="174" spans="10:27" x14ac:dyDescent="0.25">
      <c r="J174" s="206"/>
      <c r="L174" s="206"/>
      <c r="O174" s="206"/>
      <c r="Q174" s="206"/>
      <c r="T174" s="206"/>
      <c r="AA174" s="202"/>
    </row>
    <row r="175" spans="10:27" x14ac:dyDescent="0.25">
      <c r="J175" s="206"/>
      <c r="L175" s="206"/>
      <c r="O175" s="206"/>
      <c r="Q175" s="206"/>
      <c r="T175" s="206"/>
      <c r="AA175" s="202"/>
    </row>
    <row r="176" spans="10:27" x14ac:dyDescent="0.25">
      <c r="J176" s="206"/>
      <c r="L176" s="206"/>
      <c r="O176" s="206"/>
      <c r="Q176" s="206"/>
      <c r="T176" s="206"/>
      <c r="AA176" s="202"/>
    </row>
    <row r="177" spans="10:27" x14ac:dyDescent="0.25">
      <c r="J177" s="206"/>
      <c r="L177" s="206"/>
      <c r="O177" s="206"/>
      <c r="Q177" s="206"/>
      <c r="T177" s="206"/>
      <c r="AA177" s="202"/>
    </row>
    <row r="178" spans="10:27" x14ac:dyDescent="0.25">
      <c r="J178" s="206"/>
      <c r="L178" s="206"/>
      <c r="O178" s="206"/>
      <c r="Q178" s="206"/>
      <c r="T178" s="206"/>
      <c r="AA178" s="202"/>
    </row>
    <row r="179" spans="10:27" x14ac:dyDescent="0.25">
      <c r="J179" s="206"/>
      <c r="L179" s="206"/>
      <c r="O179" s="206"/>
      <c r="Q179" s="206"/>
      <c r="T179" s="206"/>
      <c r="AA179" s="202"/>
    </row>
    <row r="180" spans="10:27" x14ac:dyDescent="0.25">
      <c r="J180" s="206"/>
      <c r="L180" s="206"/>
      <c r="O180" s="206"/>
      <c r="Q180" s="206"/>
      <c r="T180" s="206"/>
      <c r="AA180" s="202"/>
    </row>
    <row r="181" spans="10:27" x14ac:dyDescent="0.25">
      <c r="J181" s="206"/>
      <c r="L181" s="206"/>
      <c r="O181" s="206"/>
      <c r="Q181" s="206"/>
      <c r="T181" s="206"/>
      <c r="AA181" s="202"/>
    </row>
    <row r="182" spans="10:27" x14ac:dyDescent="0.25">
      <c r="J182" s="206"/>
      <c r="L182" s="206"/>
      <c r="O182" s="206"/>
      <c r="Q182" s="206"/>
      <c r="T182" s="206"/>
      <c r="AA182" s="202"/>
    </row>
    <row r="183" spans="10:27" x14ac:dyDescent="0.25">
      <c r="J183" s="206"/>
      <c r="L183" s="206"/>
      <c r="O183" s="206"/>
      <c r="Q183" s="206"/>
      <c r="T183" s="206"/>
      <c r="AA183" s="202"/>
    </row>
    <row r="184" spans="10:27" x14ac:dyDescent="0.25">
      <c r="J184" s="206"/>
      <c r="L184" s="206"/>
      <c r="O184" s="206"/>
      <c r="Q184" s="206"/>
      <c r="T184" s="206"/>
      <c r="AA184" s="202"/>
    </row>
    <row r="185" spans="10:27" x14ac:dyDescent="0.25">
      <c r="J185" s="206"/>
      <c r="L185" s="206"/>
      <c r="O185" s="206"/>
      <c r="Q185" s="206"/>
      <c r="T185" s="206"/>
      <c r="AA185" s="202"/>
    </row>
    <row r="186" spans="10:27" x14ac:dyDescent="0.25">
      <c r="J186" s="206"/>
      <c r="L186" s="206"/>
      <c r="O186" s="206"/>
      <c r="Q186" s="206"/>
      <c r="T186" s="206"/>
      <c r="AA186" s="202"/>
    </row>
    <row r="187" spans="10:27" x14ac:dyDescent="0.25">
      <c r="J187" s="206"/>
      <c r="L187" s="206"/>
      <c r="O187" s="206"/>
      <c r="Q187" s="206"/>
      <c r="T187" s="206"/>
      <c r="AA187" s="202"/>
    </row>
    <row r="188" spans="10:27" x14ac:dyDescent="0.25">
      <c r="J188" s="206"/>
      <c r="L188" s="206"/>
      <c r="O188" s="206"/>
      <c r="Q188" s="206"/>
      <c r="T188" s="206"/>
      <c r="AA188" s="202"/>
    </row>
    <row r="189" spans="10:27" x14ac:dyDescent="0.25">
      <c r="J189" s="206"/>
      <c r="L189" s="206"/>
      <c r="O189" s="206"/>
      <c r="Q189" s="206"/>
      <c r="T189" s="206"/>
      <c r="AA189" s="202"/>
    </row>
    <row r="190" spans="10:27" x14ac:dyDescent="0.25">
      <c r="J190" s="206"/>
      <c r="L190" s="206"/>
      <c r="O190" s="206"/>
      <c r="Q190" s="206"/>
      <c r="T190" s="206"/>
      <c r="AA190" s="202"/>
    </row>
    <row r="191" spans="10:27" x14ac:dyDescent="0.25">
      <c r="J191" s="206"/>
      <c r="L191" s="206"/>
      <c r="O191" s="206"/>
      <c r="Q191" s="206"/>
      <c r="T191" s="206"/>
      <c r="AA191" s="202"/>
    </row>
    <row r="192" spans="10:27" x14ac:dyDescent="0.25">
      <c r="J192" s="206"/>
      <c r="L192" s="206"/>
      <c r="O192" s="206"/>
      <c r="Q192" s="206"/>
      <c r="T192" s="206"/>
      <c r="AA192" s="202"/>
    </row>
    <row r="193" spans="10:27" x14ac:dyDescent="0.25">
      <c r="J193" s="206"/>
      <c r="L193" s="206"/>
      <c r="O193" s="206"/>
      <c r="Q193" s="206"/>
      <c r="T193" s="206"/>
      <c r="AA193" s="202"/>
    </row>
    <row r="194" spans="10:27" x14ac:dyDescent="0.25">
      <c r="J194" s="206"/>
      <c r="L194" s="206"/>
      <c r="O194" s="206"/>
      <c r="Q194" s="206"/>
      <c r="T194" s="206"/>
      <c r="AA194" s="202"/>
    </row>
    <row r="195" spans="10:27" x14ac:dyDescent="0.25">
      <c r="J195" s="206"/>
      <c r="L195" s="206"/>
      <c r="O195" s="206"/>
      <c r="Q195" s="206"/>
      <c r="T195" s="206"/>
      <c r="AA195" s="202"/>
    </row>
    <row r="196" spans="10:27" x14ac:dyDescent="0.25">
      <c r="J196" s="206"/>
      <c r="L196" s="206"/>
      <c r="O196" s="206"/>
      <c r="Q196" s="206"/>
      <c r="T196" s="206"/>
      <c r="AA196" s="202"/>
    </row>
    <row r="197" spans="10:27" x14ac:dyDescent="0.25">
      <c r="J197" s="206"/>
      <c r="L197" s="206"/>
      <c r="O197" s="206"/>
      <c r="Q197" s="206"/>
      <c r="T197" s="206"/>
      <c r="AA197" s="202"/>
    </row>
    <row r="198" spans="10:27" x14ac:dyDescent="0.25">
      <c r="J198" s="206"/>
      <c r="L198" s="206"/>
      <c r="O198" s="206"/>
      <c r="Q198" s="206"/>
      <c r="T198" s="206"/>
      <c r="AA198" s="202"/>
    </row>
    <row r="199" spans="10:27" x14ac:dyDescent="0.25">
      <c r="J199" s="206"/>
      <c r="L199" s="206"/>
      <c r="O199" s="206"/>
      <c r="Q199" s="206"/>
      <c r="T199" s="206"/>
      <c r="AA199" s="202"/>
    </row>
    <row r="200" spans="10:27" x14ac:dyDescent="0.25">
      <c r="J200" s="206"/>
      <c r="L200" s="206"/>
      <c r="O200" s="206"/>
      <c r="Q200" s="206"/>
      <c r="T200" s="206"/>
      <c r="AA200" s="202"/>
    </row>
    <row r="201" spans="10:27" x14ac:dyDescent="0.25">
      <c r="J201" s="206"/>
      <c r="L201" s="206"/>
      <c r="O201" s="206"/>
      <c r="Q201" s="206"/>
      <c r="T201" s="206"/>
      <c r="AA201" s="202"/>
    </row>
    <row r="202" spans="10:27" x14ac:dyDescent="0.25">
      <c r="J202" s="206"/>
      <c r="L202" s="206"/>
      <c r="O202" s="206"/>
      <c r="Q202" s="206"/>
      <c r="T202" s="206"/>
      <c r="AA202" s="202"/>
    </row>
    <row r="203" spans="10:27" x14ac:dyDescent="0.25">
      <c r="J203" s="206"/>
      <c r="L203" s="206"/>
      <c r="O203" s="206"/>
      <c r="Q203" s="206"/>
      <c r="T203" s="206"/>
      <c r="AA203" s="202"/>
    </row>
    <row r="204" spans="10:27" x14ac:dyDescent="0.25">
      <c r="J204" s="206"/>
      <c r="L204" s="206"/>
      <c r="O204" s="206"/>
      <c r="Q204" s="206"/>
      <c r="T204" s="206"/>
      <c r="AA204" s="202"/>
    </row>
    <row r="205" spans="10:27" x14ac:dyDescent="0.25">
      <c r="J205" s="206"/>
      <c r="L205" s="206"/>
      <c r="O205" s="206"/>
      <c r="Q205" s="206"/>
      <c r="T205" s="206"/>
      <c r="AA205" s="202"/>
    </row>
    <row r="206" spans="10:27" x14ac:dyDescent="0.25">
      <c r="J206" s="206"/>
      <c r="L206" s="206"/>
      <c r="O206" s="206"/>
      <c r="Q206" s="206"/>
      <c r="T206" s="206"/>
      <c r="AA206" s="202"/>
    </row>
    <row r="207" spans="10:27" x14ac:dyDescent="0.25">
      <c r="J207" s="206"/>
      <c r="L207" s="206"/>
      <c r="O207" s="206"/>
      <c r="Q207" s="206"/>
      <c r="T207" s="206"/>
      <c r="AA207" s="202"/>
    </row>
    <row r="208" spans="10:27" x14ac:dyDescent="0.25">
      <c r="J208" s="206"/>
      <c r="L208" s="206"/>
      <c r="O208" s="206"/>
      <c r="Q208" s="206"/>
      <c r="T208" s="206"/>
      <c r="AA208" s="202"/>
    </row>
    <row r="209" spans="10:27" x14ac:dyDescent="0.25">
      <c r="J209" s="206"/>
      <c r="L209" s="206"/>
      <c r="O209" s="206"/>
      <c r="Q209" s="206"/>
      <c r="T209" s="206"/>
      <c r="AA209" s="202"/>
    </row>
    <row r="210" spans="10:27" x14ac:dyDescent="0.25">
      <c r="J210" s="206"/>
      <c r="L210" s="206"/>
      <c r="O210" s="206"/>
      <c r="Q210" s="206"/>
      <c r="T210" s="206"/>
      <c r="AA210" s="202"/>
    </row>
    <row r="211" spans="10:27" x14ac:dyDescent="0.25">
      <c r="J211" s="206"/>
      <c r="L211" s="206"/>
      <c r="O211" s="206"/>
      <c r="Q211" s="206"/>
      <c r="T211" s="206"/>
      <c r="AA211" s="202"/>
    </row>
    <row r="212" spans="10:27" x14ac:dyDescent="0.25">
      <c r="J212" s="206"/>
      <c r="L212" s="206"/>
      <c r="O212" s="206"/>
      <c r="Q212" s="206"/>
      <c r="T212" s="206"/>
      <c r="AA212" s="202"/>
    </row>
    <row r="213" spans="10:27" x14ac:dyDescent="0.25">
      <c r="J213" s="206"/>
      <c r="L213" s="206"/>
      <c r="O213" s="206"/>
      <c r="Q213" s="206"/>
      <c r="T213" s="206"/>
      <c r="AA213" s="202"/>
    </row>
    <row r="214" spans="10:27" x14ac:dyDescent="0.25">
      <c r="J214" s="206"/>
      <c r="L214" s="206"/>
      <c r="O214" s="206"/>
      <c r="Q214" s="206"/>
      <c r="T214" s="206"/>
      <c r="AA214" s="202"/>
    </row>
    <row r="215" spans="10:27" x14ac:dyDescent="0.25">
      <c r="J215" s="206"/>
      <c r="L215" s="206"/>
      <c r="O215" s="206"/>
      <c r="Q215" s="206"/>
      <c r="T215" s="206"/>
      <c r="AA215" s="202"/>
    </row>
    <row r="216" spans="10:27" x14ac:dyDescent="0.25">
      <c r="J216" s="206"/>
      <c r="L216" s="206"/>
      <c r="O216" s="206"/>
      <c r="Q216" s="206"/>
      <c r="T216" s="206"/>
      <c r="AA216" s="202"/>
    </row>
    <row r="217" spans="10:27" x14ac:dyDescent="0.25">
      <c r="J217" s="206"/>
      <c r="L217" s="206"/>
      <c r="O217" s="206"/>
      <c r="Q217" s="206"/>
      <c r="T217" s="206"/>
      <c r="AA217" s="202"/>
    </row>
    <row r="218" spans="10:27" x14ac:dyDescent="0.25">
      <c r="J218" s="206"/>
      <c r="L218" s="206"/>
      <c r="O218" s="206"/>
      <c r="Q218" s="206"/>
      <c r="T218" s="206"/>
      <c r="AA218" s="202"/>
    </row>
    <row r="219" spans="10:27" x14ac:dyDescent="0.25">
      <c r="J219" s="206"/>
      <c r="L219" s="206"/>
      <c r="O219" s="206"/>
      <c r="Q219" s="206"/>
      <c r="T219" s="206"/>
      <c r="AA219" s="202"/>
    </row>
    <row r="220" spans="10:27" x14ac:dyDescent="0.25">
      <c r="J220" s="206"/>
      <c r="L220" s="206"/>
      <c r="O220" s="206"/>
      <c r="Q220" s="206"/>
      <c r="T220" s="206"/>
      <c r="AA220" s="202"/>
    </row>
    <row r="221" spans="10:27" x14ac:dyDescent="0.25">
      <c r="J221" s="206"/>
      <c r="L221" s="206"/>
      <c r="O221" s="206"/>
      <c r="Q221" s="206"/>
      <c r="T221" s="206"/>
      <c r="AA221" s="202"/>
    </row>
    <row r="222" spans="10:27" x14ac:dyDescent="0.25">
      <c r="J222" s="206"/>
      <c r="L222" s="206"/>
      <c r="O222" s="206"/>
      <c r="Q222" s="206"/>
      <c r="T222" s="206"/>
      <c r="AA222" s="202"/>
    </row>
    <row r="223" spans="10:27" x14ac:dyDescent="0.25">
      <c r="J223" s="206"/>
      <c r="L223" s="206"/>
      <c r="O223" s="206"/>
      <c r="Q223" s="206"/>
      <c r="T223" s="206"/>
      <c r="AA223" s="202"/>
    </row>
    <row r="224" spans="10:27" x14ac:dyDescent="0.25">
      <c r="J224" s="206"/>
      <c r="L224" s="206"/>
      <c r="O224" s="206"/>
      <c r="Q224" s="206"/>
      <c r="T224" s="206"/>
      <c r="AA224" s="202"/>
    </row>
    <row r="225" spans="10:27" x14ac:dyDescent="0.25">
      <c r="J225" s="206"/>
      <c r="L225" s="206"/>
      <c r="O225" s="206"/>
      <c r="Q225" s="206"/>
      <c r="T225" s="206"/>
      <c r="AA225" s="202"/>
    </row>
    <row r="226" spans="10:27" x14ac:dyDescent="0.25">
      <c r="J226" s="206"/>
      <c r="L226" s="206"/>
      <c r="O226" s="206"/>
      <c r="Q226" s="206"/>
      <c r="T226" s="206"/>
      <c r="AA226" s="202"/>
    </row>
    <row r="227" spans="10:27" x14ac:dyDescent="0.25">
      <c r="J227" s="206"/>
      <c r="L227" s="206"/>
      <c r="O227" s="206"/>
      <c r="Q227" s="206"/>
      <c r="T227" s="206"/>
      <c r="AA227" s="202"/>
    </row>
    <row r="228" spans="10:27" x14ac:dyDescent="0.25">
      <c r="J228" s="206"/>
      <c r="L228" s="206"/>
      <c r="O228" s="206"/>
      <c r="Q228" s="206"/>
      <c r="T228" s="206"/>
      <c r="AA228" s="202"/>
    </row>
    <row r="229" spans="10:27" x14ac:dyDescent="0.25">
      <c r="J229" s="206"/>
      <c r="L229" s="206"/>
      <c r="O229" s="206"/>
      <c r="Q229" s="206"/>
      <c r="T229" s="206"/>
      <c r="AA229" s="202"/>
    </row>
    <row r="230" spans="10:27" x14ac:dyDescent="0.25">
      <c r="J230" s="206"/>
      <c r="L230" s="206"/>
      <c r="O230" s="206"/>
      <c r="Q230" s="206"/>
      <c r="T230" s="206"/>
      <c r="AA230" s="202"/>
    </row>
    <row r="231" spans="10:27" x14ac:dyDescent="0.25">
      <c r="J231" s="206"/>
      <c r="L231" s="206"/>
      <c r="O231" s="206"/>
      <c r="Q231" s="206"/>
      <c r="T231" s="206"/>
      <c r="AA231" s="202"/>
    </row>
    <row r="232" spans="10:27" x14ac:dyDescent="0.25">
      <c r="J232" s="206"/>
      <c r="L232" s="206"/>
      <c r="O232" s="206"/>
      <c r="Q232" s="206"/>
      <c r="T232" s="206"/>
      <c r="AA232" s="202"/>
    </row>
    <row r="233" spans="10:27" x14ac:dyDescent="0.25">
      <c r="J233" s="206"/>
      <c r="L233" s="206"/>
      <c r="O233" s="206"/>
      <c r="Q233" s="206"/>
      <c r="T233" s="206"/>
      <c r="AA233" s="202"/>
    </row>
    <row r="234" spans="10:27" x14ac:dyDescent="0.25">
      <c r="J234" s="206"/>
      <c r="L234" s="206"/>
      <c r="O234" s="206"/>
      <c r="Q234" s="206"/>
      <c r="T234" s="206"/>
      <c r="AA234" s="202"/>
    </row>
    <row r="235" spans="10:27" x14ac:dyDescent="0.25">
      <c r="J235" s="206"/>
      <c r="L235" s="206"/>
      <c r="O235" s="206"/>
      <c r="Q235" s="206"/>
      <c r="T235" s="206"/>
      <c r="AA235" s="202"/>
    </row>
    <row r="236" spans="10:27" x14ac:dyDescent="0.25">
      <c r="J236" s="206"/>
      <c r="L236" s="206"/>
      <c r="O236" s="206"/>
      <c r="Q236" s="206"/>
      <c r="T236" s="206"/>
      <c r="AA236" s="202"/>
    </row>
    <row r="237" spans="10:27" x14ac:dyDescent="0.25">
      <c r="J237" s="206"/>
      <c r="L237" s="206"/>
      <c r="O237" s="206"/>
      <c r="Q237" s="206"/>
      <c r="T237" s="206"/>
      <c r="AA237" s="202"/>
    </row>
    <row r="238" spans="10:27" x14ac:dyDescent="0.25">
      <c r="J238" s="206"/>
      <c r="L238" s="206"/>
      <c r="O238" s="206"/>
      <c r="Q238" s="206"/>
      <c r="T238" s="206"/>
      <c r="AA238" s="202"/>
    </row>
    <row r="239" spans="10:27" x14ac:dyDescent="0.25">
      <c r="J239" s="206"/>
      <c r="L239" s="206"/>
      <c r="O239" s="206"/>
      <c r="Q239" s="206"/>
      <c r="T239" s="206"/>
      <c r="AA239" s="202"/>
    </row>
    <row r="240" spans="10:27" x14ac:dyDescent="0.25">
      <c r="J240" s="206"/>
      <c r="L240" s="206"/>
      <c r="O240" s="206"/>
      <c r="Q240" s="206"/>
      <c r="T240" s="206"/>
      <c r="AA240" s="202"/>
    </row>
    <row r="241" spans="10:27" x14ac:dyDescent="0.25">
      <c r="J241" s="206"/>
      <c r="L241" s="206"/>
      <c r="O241" s="206"/>
      <c r="Q241" s="206"/>
      <c r="T241" s="206"/>
      <c r="AA241" s="202"/>
    </row>
    <row r="242" spans="10:27" x14ac:dyDescent="0.25">
      <c r="J242" s="206"/>
      <c r="L242" s="206"/>
      <c r="O242" s="206"/>
      <c r="Q242" s="206"/>
      <c r="T242" s="206"/>
      <c r="AA242" s="202"/>
    </row>
    <row r="243" spans="10:27" x14ac:dyDescent="0.25">
      <c r="J243" s="206"/>
      <c r="L243" s="206"/>
      <c r="O243" s="206"/>
      <c r="Q243" s="206"/>
      <c r="T243" s="206"/>
      <c r="AA243" s="202"/>
    </row>
    <row r="244" spans="10:27" x14ac:dyDescent="0.25">
      <c r="J244" s="206"/>
      <c r="L244" s="206"/>
      <c r="O244" s="206"/>
      <c r="Q244" s="206"/>
      <c r="T244" s="206"/>
      <c r="AA244" s="202"/>
    </row>
    <row r="245" spans="10:27" x14ac:dyDescent="0.25">
      <c r="J245" s="206"/>
      <c r="L245" s="206"/>
      <c r="O245" s="206"/>
      <c r="Q245" s="206"/>
      <c r="T245" s="206"/>
      <c r="AA245" s="202"/>
    </row>
    <row r="246" spans="10:27" x14ac:dyDescent="0.25">
      <c r="J246" s="206"/>
      <c r="L246" s="206"/>
      <c r="O246" s="206"/>
      <c r="Q246" s="206"/>
      <c r="T246" s="206"/>
      <c r="AA246" s="202"/>
    </row>
    <row r="247" spans="10:27" x14ac:dyDescent="0.25">
      <c r="J247" s="206"/>
      <c r="L247" s="206"/>
      <c r="O247" s="206"/>
      <c r="Q247" s="206"/>
      <c r="T247" s="206"/>
      <c r="AA247" s="202"/>
    </row>
    <row r="248" spans="10:27" x14ac:dyDescent="0.25">
      <c r="J248" s="206"/>
      <c r="L248" s="206"/>
      <c r="O248" s="206"/>
      <c r="Q248" s="206"/>
      <c r="T248" s="206"/>
      <c r="AA248" s="202"/>
    </row>
    <row r="249" spans="10:27" x14ac:dyDescent="0.25">
      <c r="J249" s="206"/>
      <c r="L249" s="206"/>
      <c r="O249" s="206"/>
      <c r="Q249" s="206"/>
      <c r="T249" s="206"/>
      <c r="AA249" s="202"/>
    </row>
    <row r="250" spans="10:27" x14ac:dyDescent="0.25">
      <c r="J250" s="206"/>
      <c r="L250" s="206"/>
      <c r="O250" s="206"/>
      <c r="Q250" s="206"/>
      <c r="T250" s="206"/>
      <c r="AA250" s="202"/>
    </row>
    <row r="251" spans="10:27" x14ac:dyDescent="0.25">
      <c r="J251" s="206"/>
      <c r="L251" s="206"/>
      <c r="O251" s="206"/>
      <c r="Q251" s="206"/>
      <c r="T251" s="206"/>
      <c r="AA251" s="202"/>
    </row>
    <row r="252" spans="10:27" x14ac:dyDescent="0.25">
      <c r="J252" s="206"/>
      <c r="L252" s="206"/>
      <c r="O252" s="206"/>
      <c r="Q252" s="206"/>
      <c r="T252" s="206"/>
      <c r="AA252" s="202"/>
    </row>
    <row r="253" spans="10:27" x14ac:dyDescent="0.25">
      <c r="J253" s="206"/>
      <c r="L253" s="206"/>
      <c r="O253" s="206"/>
      <c r="Q253" s="206"/>
      <c r="T253" s="206"/>
      <c r="AA253" s="202"/>
    </row>
    <row r="254" spans="10:27" x14ac:dyDescent="0.25">
      <c r="J254" s="206"/>
      <c r="L254" s="206"/>
      <c r="O254" s="206"/>
      <c r="Q254" s="206"/>
      <c r="T254" s="206"/>
      <c r="AA254" s="202"/>
    </row>
    <row r="255" spans="10:27" x14ac:dyDescent="0.25">
      <c r="J255" s="206"/>
      <c r="L255" s="206"/>
      <c r="O255" s="206"/>
      <c r="Q255" s="206"/>
      <c r="T255" s="206"/>
      <c r="AA255" s="202"/>
    </row>
    <row r="256" spans="10:27" x14ac:dyDescent="0.25">
      <c r="J256" s="206"/>
      <c r="L256" s="206"/>
      <c r="O256" s="206"/>
      <c r="Q256" s="206"/>
      <c r="T256" s="206"/>
      <c r="AA256" s="202"/>
    </row>
    <row r="257" spans="10:27" x14ac:dyDescent="0.25">
      <c r="J257" s="206"/>
      <c r="L257" s="206"/>
      <c r="O257" s="206"/>
      <c r="Q257" s="206"/>
      <c r="T257" s="206"/>
      <c r="AA257" s="202"/>
    </row>
    <row r="258" spans="10:27" x14ac:dyDescent="0.25">
      <c r="J258" s="206"/>
      <c r="L258" s="206"/>
      <c r="O258" s="206"/>
      <c r="Q258" s="206"/>
      <c r="T258" s="206"/>
      <c r="AA258" s="202"/>
    </row>
    <row r="259" spans="10:27" x14ac:dyDescent="0.25">
      <c r="J259" s="206"/>
      <c r="L259" s="206"/>
      <c r="O259" s="206"/>
      <c r="Q259" s="206"/>
      <c r="T259" s="206"/>
      <c r="AA259" s="202"/>
    </row>
    <row r="260" spans="10:27" x14ac:dyDescent="0.25">
      <c r="J260" s="206"/>
      <c r="L260" s="206"/>
      <c r="O260" s="206"/>
      <c r="Q260" s="206"/>
      <c r="T260" s="206"/>
      <c r="AA260" s="202"/>
    </row>
    <row r="261" spans="10:27" x14ac:dyDescent="0.25">
      <c r="J261" s="206"/>
      <c r="L261" s="206"/>
      <c r="O261" s="206"/>
      <c r="Q261" s="206"/>
      <c r="T261" s="206"/>
      <c r="AA261" s="202"/>
    </row>
    <row r="262" spans="10:27" x14ac:dyDescent="0.25">
      <c r="J262" s="206"/>
      <c r="L262" s="206"/>
      <c r="O262" s="206"/>
      <c r="Q262" s="206"/>
      <c r="T262" s="206"/>
      <c r="AA262" s="202"/>
    </row>
    <row r="263" spans="10:27" x14ac:dyDescent="0.25">
      <c r="J263" s="206"/>
      <c r="L263" s="206"/>
      <c r="O263" s="206"/>
      <c r="Q263" s="206"/>
      <c r="T263" s="206"/>
      <c r="AA263" s="202"/>
    </row>
    <row r="264" spans="10:27" x14ac:dyDescent="0.25">
      <c r="J264" s="206"/>
      <c r="L264" s="206"/>
      <c r="O264" s="206"/>
      <c r="Q264" s="206"/>
      <c r="T264" s="206"/>
      <c r="AA264" s="202"/>
    </row>
    <row r="265" spans="10:27" x14ac:dyDescent="0.25">
      <c r="J265" s="206"/>
      <c r="L265" s="206"/>
      <c r="O265" s="206"/>
      <c r="Q265" s="206"/>
      <c r="T265" s="206"/>
      <c r="AA265" s="202"/>
    </row>
    <row r="266" spans="10:27" x14ac:dyDescent="0.25">
      <c r="J266" s="206"/>
      <c r="L266" s="206"/>
      <c r="O266" s="206"/>
      <c r="Q266" s="206"/>
      <c r="T266" s="206"/>
      <c r="AA266" s="202"/>
    </row>
    <row r="267" spans="10:27" x14ac:dyDescent="0.25">
      <c r="J267" s="206"/>
      <c r="L267" s="206"/>
      <c r="O267" s="206"/>
      <c r="Q267" s="206"/>
      <c r="T267" s="206"/>
      <c r="AA267" s="202"/>
    </row>
    <row r="268" spans="10:27" x14ac:dyDescent="0.25">
      <c r="J268" s="206"/>
      <c r="L268" s="206"/>
      <c r="O268" s="206"/>
      <c r="Q268" s="206"/>
      <c r="T268" s="206"/>
      <c r="AA268" s="202"/>
    </row>
    <row r="269" spans="10:27" x14ac:dyDescent="0.25">
      <c r="J269" s="206"/>
      <c r="L269" s="206"/>
      <c r="O269" s="206"/>
      <c r="Q269" s="206"/>
      <c r="T269" s="206"/>
      <c r="AA269" s="202"/>
    </row>
    <row r="270" spans="10:27" x14ac:dyDescent="0.25">
      <c r="J270" s="206"/>
      <c r="L270" s="206"/>
      <c r="O270" s="206"/>
      <c r="Q270" s="206"/>
      <c r="T270" s="206"/>
      <c r="AA270" s="202"/>
    </row>
    <row r="271" spans="10:27" x14ac:dyDescent="0.25">
      <c r="J271" s="206"/>
      <c r="L271" s="206"/>
      <c r="O271" s="206"/>
      <c r="Q271" s="206"/>
      <c r="T271" s="206"/>
      <c r="AA271" s="202"/>
    </row>
    <row r="272" spans="10:27" x14ac:dyDescent="0.25">
      <c r="J272" s="206"/>
      <c r="L272" s="206"/>
      <c r="O272" s="206"/>
      <c r="Q272" s="206"/>
      <c r="T272" s="206"/>
      <c r="AA272" s="202"/>
    </row>
    <row r="273" spans="10:27" x14ac:dyDescent="0.25">
      <c r="J273" s="206"/>
      <c r="L273" s="206"/>
      <c r="O273" s="206"/>
      <c r="Q273" s="206"/>
      <c r="T273" s="206"/>
      <c r="AA273" s="202"/>
    </row>
    <row r="274" spans="10:27" x14ac:dyDescent="0.25">
      <c r="J274" s="206"/>
      <c r="L274" s="206"/>
      <c r="O274" s="206"/>
      <c r="Q274" s="206"/>
      <c r="T274" s="206"/>
      <c r="AA274" s="202"/>
    </row>
    <row r="275" spans="10:27" x14ac:dyDescent="0.25">
      <c r="J275" s="206"/>
      <c r="L275" s="206"/>
      <c r="O275" s="206"/>
      <c r="Q275" s="206"/>
      <c r="T275" s="206"/>
      <c r="AA275" s="202"/>
    </row>
    <row r="276" spans="10:27" x14ac:dyDescent="0.25">
      <c r="J276" s="206"/>
      <c r="L276" s="206"/>
      <c r="O276" s="206"/>
      <c r="Q276" s="206"/>
      <c r="T276" s="206"/>
      <c r="AA276" s="202"/>
    </row>
    <row r="277" spans="10:27" x14ac:dyDescent="0.25">
      <c r="J277" s="206"/>
      <c r="L277" s="206"/>
      <c r="O277" s="206"/>
      <c r="Q277" s="206"/>
      <c r="T277" s="206"/>
      <c r="AA277" s="202"/>
    </row>
    <row r="278" spans="10:27" x14ac:dyDescent="0.25">
      <c r="J278" s="206"/>
      <c r="L278" s="206"/>
      <c r="O278" s="206"/>
      <c r="Q278" s="206"/>
      <c r="T278" s="206"/>
      <c r="AA278" s="202"/>
    </row>
    <row r="279" spans="10:27" x14ac:dyDescent="0.25">
      <c r="J279" s="206"/>
      <c r="L279" s="206"/>
      <c r="O279" s="206"/>
      <c r="Q279" s="206"/>
      <c r="T279" s="206"/>
      <c r="AA279" s="202"/>
    </row>
    <row r="280" spans="10:27" x14ac:dyDescent="0.25">
      <c r="J280" s="206"/>
      <c r="L280" s="206"/>
      <c r="O280" s="206"/>
      <c r="Q280" s="206"/>
      <c r="T280" s="206"/>
      <c r="AA280" s="202"/>
    </row>
    <row r="281" spans="10:27" x14ac:dyDescent="0.25">
      <c r="J281" s="206"/>
      <c r="L281" s="206"/>
      <c r="O281" s="206"/>
      <c r="Q281" s="206"/>
      <c r="T281" s="206"/>
      <c r="AA281" s="202"/>
    </row>
    <row r="282" spans="10:27" x14ac:dyDescent="0.25">
      <c r="J282" s="206"/>
      <c r="L282" s="206"/>
      <c r="O282" s="206"/>
      <c r="Q282" s="206"/>
      <c r="T282" s="206"/>
      <c r="AA282" s="202"/>
    </row>
    <row r="283" spans="10:27" x14ac:dyDescent="0.25">
      <c r="J283" s="206"/>
      <c r="L283" s="206"/>
      <c r="O283" s="206"/>
      <c r="Q283" s="206"/>
      <c r="T283" s="206"/>
      <c r="AA283" s="202"/>
    </row>
    <row r="284" spans="10:27" x14ac:dyDescent="0.25">
      <c r="J284" s="206"/>
      <c r="L284" s="206"/>
      <c r="O284" s="206"/>
      <c r="Q284" s="206"/>
      <c r="T284" s="206"/>
      <c r="AA284" s="202"/>
    </row>
    <row r="285" spans="10:27" x14ac:dyDescent="0.25">
      <c r="J285" s="206"/>
      <c r="L285" s="206"/>
      <c r="O285" s="206"/>
      <c r="Q285" s="206"/>
      <c r="T285" s="206"/>
      <c r="AA285" s="202"/>
    </row>
    <row r="286" spans="10:27" x14ac:dyDescent="0.25">
      <c r="J286" s="206"/>
      <c r="L286" s="206"/>
      <c r="O286" s="206"/>
      <c r="Q286" s="206"/>
      <c r="T286" s="206"/>
      <c r="AA286" s="202"/>
    </row>
    <row r="287" spans="10:27" x14ac:dyDescent="0.25">
      <c r="J287" s="206"/>
      <c r="L287" s="206"/>
      <c r="O287" s="206"/>
      <c r="Q287" s="206"/>
      <c r="T287" s="206"/>
      <c r="AA287" s="202"/>
    </row>
    <row r="288" spans="10:27" x14ac:dyDescent="0.25">
      <c r="J288" s="206"/>
      <c r="L288" s="206"/>
      <c r="O288" s="206"/>
      <c r="Q288" s="206"/>
      <c r="T288" s="206"/>
      <c r="AA288" s="202"/>
    </row>
    <row r="289" spans="10:27" x14ac:dyDescent="0.25">
      <c r="J289" s="206"/>
      <c r="L289" s="206"/>
      <c r="O289" s="206"/>
      <c r="Q289" s="206"/>
      <c r="T289" s="206"/>
      <c r="AA289" s="202"/>
    </row>
    <row r="290" spans="10:27" x14ac:dyDescent="0.25">
      <c r="J290" s="206"/>
      <c r="L290" s="206"/>
      <c r="O290" s="206"/>
      <c r="Q290" s="206"/>
      <c r="T290" s="206"/>
      <c r="AA290" s="202"/>
    </row>
    <row r="291" spans="10:27" x14ac:dyDescent="0.25">
      <c r="J291" s="206"/>
      <c r="L291" s="206"/>
      <c r="O291" s="206"/>
      <c r="Q291" s="206"/>
      <c r="T291" s="206"/>
      <c r="AA291" s="202"/>
    </row>
    <row r="292" spans="10:27" x14ac:dyDescent="0.25">
      <c r="J292" s="206"/>
      <c r="L292" s="206"/>
      <c r="O292" s="206"/>
      <c r="Q292" s="206"/>
      <c r="T292" s="206"/>
      <c r="AA292" s="202"/>
    </row>
    <row r="293" spans="10:27" x14ac:dyDescent="0.25">
      <c r="J293" s="206"/>
      <c r="L293" s="206"/>
      <c r="O293" s="206"/>
      <c r="Q293" s="206"/>
      <c r="T293" s="206"/>
      <c r="AA293" s="202"/>
    </row>
    <row r="294" spans="10:27" x14ac:dyDescent="0.25">
      <c r="J294" s="206"/>
      <c r="L294" s="206"/>
      <c r="O294" s="206"/>
      <c r="Q294" s="206"/>
      <c r="T294" s="206"/>
      <c r="AA294" s="202"/>
    </row>
    <row r="295" spans="10:27" x14ac:dyDescent="0.25">
      <c r="J295" s="206"/>
      <c r="L295" s="206"/>
      <c r="O295" s="206"/>
      <c r="Q295" s="206"/>
      <c r="T295" s="206"/>
      <c r="AA295" s="202"/>
    </row>
    <row r="296" spans="10:27" x14ac:dyDescent="0.25">
      <c r="J296" s="206"/>
      <c r="L296" s="206"/>
      <c r="O296" s="206"/>
      <c r="Q296" s="206"/>
      <c r="T296" s="206"/>
      <c r="AA296" s="202"/>
    </row>
    <row r="297" spans="10:27" x14ac:dyDescent="0.25">
      <c r="J297" s="206"/>
      <c r="L297" s="206"/>
      <c r="O297" s="206"/>
      <c r="Q297" s="206"/>
      <c r="T297" s="206"/>
      <c r="AA297" s="202"/>
    </row>
    <row r="298" spans="10:27" x14ac:dyDescent="0.25">
      <c r="J298" s="206"/>
      <c r="L298" s="206"/>
      <c r="O298" s="206"/>
      <c r="Q298" s="206"/>
      <c r="T298" s="206"/>
      <c r="AA298" s="202"/>
    </row>
    <row r="299" spans="10:27" x14ac:dyDescent="0.25">
      <c r="J299" s="206"/>
      <c r="L299" s="206"/>
      <c r="O299" s="206"/>
      <c r="Q299" s="206"/>
      <c r="T299" s="206"/>
      <c r="AA299" s="202"/>
    </row>
    <row r="300" spans="10:27" x14ac:dyDescent="0.25">
      <c r="J300" s="206"/>
      <c r="L300" s="206"/>
      <c r="O300" s="206"/>
      <c r="Q300" s="206"/>
      <c r="T300" s="206"/>
      <c r="AA300" s="202"/>
    </row>
    <row r="301" spans="10:27" x14ac:dyDescent="0.25">
      <c r="J301" s="206"/>
      <c r="L301" s="206"/>
      <c r="O301" s="206"/>
      <c r="Q301" s="206"/>
      <c r="T301" s="206"/>
      <c r="AA301" s="202"/>
    </row>
    <row r="302" spans="10:27" x14ac:dyDescent="0.25">
      <c r="J302" s="206"/>
      <c r="L302" s="206"/>
      <c r="O302" s="206"/>
      <c r="Q302" s="206"/>
      <c r="T302" s="206"/>
      <c r="AA302" s="202"/>
    </row>
    <row r="303" spans="10:27" x14ac:dyDescent="0.25">
      <c r="J303" s="206"/>
      <c r="L303" s="206"/>
      <c r="O303" s="206"/>
      <c r="Q303" s="206"/>
      <c r="T303" s="206"/>
      <c r="AA303" s="202"/>
    </row>
    <row r="304" spans="10:27" x14ac:dyDescent="0.25">
      <c r="J304" s="206"/>
      <c r="L304" s="206"/>
      <c r="O304" s="206"/>
      <c r="Q304" s="206"/>
      <c r="T304" s="206"/>
      <c r="AA304" s="202"/>
    </row>
    <row r="305" spans="10:27" x14ac:dyDescent="0.25">
      <c r="J305" s="206"/>
      <c r="L305" s="206"/>
      <c r="O305" s="206"/>
      <c r="Q305" s="206"/>
      <c r="T305" s="206"/>
      <c r="AA305" s="202"/>
    </row>
    <row r="306" spans="10:27" x14ac:dyDescent="0.25">
      <c r="J306" s="206"/>
      <c r="L306" s="206"/>
      <c r="O306" s="206"/>
      <c r="Q306" s="206"/>
      <c r="T306" s="206"/>
      <c r="AA306" s="202"/>
    </row>
    <row r="307" spans="10:27" x14ac:dyDescent="0.25">
      <c r="J307" s="206"/>
      <c r="L307" s="206"/>
      <c r="O307" s="206"/>
      <c r="Q307" s="206"/>
      <c r="T307" s="206"/>
      <c r="AA307" s="202"/>
    </row>
    <row r="308" spans="10:27" x14ac:dyDescent="0.25">
      <c r="J308" s="206"/>
      <c r="L308" s="206"/>
      <c r="O308" s="206"/>
      <c r="Q308" s="206"/>
      <c r="T308" s="206"/>
      <c r="AA308" s="202"/>
    </row>
    <row r="309" spans="10:27" x14ac:dyDescent="0.25">
      <c r="J309" s="206"/>
      <c r="L309" s="206"/>
      <c r="O309" s="206"/>
      <c r="Q309" s="206"/>
      <c r="T309" s="206"/>
      <c r="AA309" s="202"/>
    </row>
    <row r="310" spans="10:27" x14ac:dyDescent="0.25">
      <c r="J310" s="206"/>
      <c r="L310" s="206"/>
      <c r="O310" s="206"/>
      <c r="Q310" s="206"/>
      <c r="T310" s="206"/>
      <c r="AA310" s="202"/>
    </row>
    <row r="311" spans="10:27" x14ac:dyDescent="0.25">
      <c r="J311" s="206"/>
      <c r="L311" s="206"/>
      <c r="O311" s="206"/>
      <c r="Q311" s="206"/>
      <c r="T311" s="206"/>
      <c r="AA311" s="202"/>
    </row>
    <row r="312" spans="10:27" x14ac:dyDescent="0.25">
      <c r="J312" s="206"/>
      <c r="L312" s="206"/>
      <c r="O312" s="206"/>
      <c r="Q312" s="206"/>
      <c r="T312" s="206"/>
      <c r="AA312" s="202"/>
    </row>
    <row r="313" spans="10:27" x14ac:dyDescent="0.25">
      <c r="J313" s="206"/>
      <c r="L313" s="206"/>
      <c r="O313" s="206"/>
      <c r="Q313" s="206"/>
      <c r="T313" s="206"/>
      <c r="AA313" s="202"/>
    </row>
    <row r="314" spans="10:27" x14ac:dyDescent="0.25">
      <c r="J314" s="206"/>
      <c r="L314" s="206"/>
      <c r="O314" s="206"/>
      <c r="Q314" s="206"/>
      <c r="T314" s="206"/>
      <c r="AA314" s="202"/>
    </row>
    <row r="315" spans="10:27" x14ac:dyDescent="0.25">
      <c r="J315" s="206"/>
      <c r="L315" s="206"/>
      <c r="O315" s="206"/>
      <c r="Q315" s="206"/>
      <c r="T315" s="206"/>
      <c r="AA315" s="202"/>
    </row>
    <row r="316" spans="10:27" x14ac:dyDescent="0.25">
      <c r="J316" s="206"/>
      <c r="L316" s="206"/>
      <c r="O316" s="206"/>
      <c r="Q316" s="206"/>
      <c r="T316" s="206"/>
      <c r="AA316" s="202"/>
    </row>
    <row r="317" spans="10:27" x14ac:dyDescent="0.25">
      <c r="J317" s="206"/>
      <c r="L317" s="206"/>
      <c r="O317" s="206"/>
      <c r="Q317" s="206"/>
      <c r="T317" s="206"/>
      <c r="AA317" s="202"/>
    </row>
    <row r="318" spans="10:27" x14ac:dyDescent="0.25">
      <c r="J318" s="206"/>
      <c r="L318" s="206"/>
      <c r="O318" s="206"/>
      <c r="Q318" s="206"/>
      <c r="T318" s="206"/>
      <c r="AA318" s="202"/>
    </row>
    <row r="319" spans="10:27" x14ac:dyDescent="0.25">
      <c r="J319" s="206"/>
      <c r="L319" s="206"/>
      <c r="O319" s="206"/>
      <c r="Q319" s="206"/>
      <c r="T319" s="206"/>
      <c r="AA319" s="202"/>
    </row>
    <row r="320" spans="10:27" x14ac:dyDescent="0.25">
      <c r="J320" s="206"/>
      <c r="L320" s="206"/>
      <c r="O320" s="206"/>
      <c r="Q320" s="206"/>
      <c r="T320" s="206"/>
      <c r="AA320" s="202"/>
    </row>
    <row r="321" spans="10:27" x14ac:dyDescent="0.25">
      <c r="J321" s="206"/>
      <c r="L321" s="206"/>
      <c r="O321" s="206"/>
      <c r="Q321" s="206"/>
      <c r="T321" s="206"/>
      <c r="AA321" s="202"/>
    </row>
    <row r="322" spans="10:27" x14ac:dyDescent="0.25">
      <c r="J322" s="206"/>
      <c r="L322" s="206"/>
      <c r="O322" s="206"/>
      <c r="Q322" s="206"/>
      <c r="T322" s="206"/>
      <c r="AA322" s="202"/>
    </row>
    <row r="323" spans="10:27" x14ac:dyDescent="0.25">
      <c r="J323" s="206"/>
      <c r="L323" s="206"/>
      <c r="O323" s="206"/>
      <c r="Q323" s="206"/>
      <c r="T323" s="206"/>
      <c r="AA323" s="202"/>
    </row>
    <row r="324" spans="10:27" x14ac:dyDescent="0.25">
      <c r="J324" s="206"/>
      <c r="L324" s="206"/>
      <c r="O324" s="206"/>
      <c r="Q324" s="206"/>
      <c r="T324" s="206"/>
      <c r="AA324" s="202"/>
    </row>
    <row r="325" spans="10:27" x14ac:dyDescent="0.25">
      <c r="J325" s="206"/>
      <c r="L325" s="206"/>
      <c r="O325" s="206"/>
      <c r="Q325" s="206"/>
      <c r="T325" s="206"/>
      <c r="AA325" s="202"/>
    </row>
    <row r="326" spans="10:27" x14ac:dyDescent="0.25">
      <c r="J326" s="206"/>
      <c r="L326" s="206"/>
      <c r="O326" s="206"/>
      <c r="Q326" s="206"/>
      <c r="T326" s="206"/>
      <c r="AA326" s="202"/>
    </row>
    <row r="327" spans="10:27" x14ac:dyDescent="0.25">
      <c r="J327" s="206"/>
      <c r="L327" s="206"/>
      <c r="O327" s="206"/>
      <c r="Q327" s="206"/>
      <c r="T327" s="206"/>
      <c r="AA327" s="202"/>
    </row>
    <row r="328" spans="10:27" x14ac:dyDescent="0.25">
      <c r="J328" s="206"/>
      <c r="L328" s="206"/>
      <c r="O328" s="206"/>
      <c r="Q328" s="206"/>
      <c r="T328" s="206"/>
      <c r="AA328" s="202"/>
    </row>
    <row r="329" spans="10:27" x14ac:dyDescent="0.25">
      <c r="J329" s="206"/>
      <c r="L329" s="206"/>
      <c r="O329" s="206"/>
      <c r="Q329" s="206"/>
      <c r="T329" s="206"/>
      <c r="AA329" s="202"/>
    </row>
    <row r="330" spans="10:27" x14ac:dyDescent="0.25">
      <c r="J330" s="206"/>
      <c r="L330" s="206"/>
      <c r="O330" s="206"/>
      <c r="Q330" s="206"/>
      <c r="T330" s="206"/>
      <c r="AA330" s="202"/>
    </row>
    <row r="331" spans="10:27" x14ac:dyDescent="0.25">
      <c r="J331" s="206"/>
      <c r="L331" s="206"/>
      <c r="O331" s="206"/>
      <c r="Q331" s="206"/>
      <c r="T331" s="206"/>
      <c r="AA331" s="202"/>
    </row>
    <row r="332" spans="10:27" x14ac:dyDescent="0.25">
      <c r="J332" s="206"/>
      <c r="L332" s="206"/>
      <c r="O332" s="206"/>
      <c r="Q332" s="206"/>
      <c r="T332" s="206"/>
      <c r="AA332" s="202"/>
    </row>
    <row r="333" spans="10:27" x14ac:dyDescent="0.25">
      <c r="J333" s="206"/>
      <c r="L333" s="206"/>
      <c r="O333" s="206"/>
      <c r="Q333" s="206"/>
      <c r="T333" s="206"/>
      <c r="AA333" s="202"/>
    </row>
    <row r="334" spans="10:27" x14ac:dyDescent="0.25">
      <c r="J334" s="206"/>
      <c r="L334" s="206"/>
      <c r="O334" s="206"/>
      <c r="Q334" s="206"/>
      <c r="T334" s="206"/>
      <c r="AA334" s="202"/>
    </row>
    <row r="335" spans="10:27" x14ac:dyDescent="0.25">
      <c r="J335" s="206"/>
      <c r="L335" s="206"/>
      <c r="O335" s="206"/>
      <c r="Q335" s="206"/>
      <c r="T335" s="206"/>
      <c r="AA335" s="202"/>
    </row>
    <row r="336" spans="10:27" x14ac:dyDescent="0.25">
      <c r="J336" s="206"/>
      <c r="L336" s="206"/>
      <c r="O336" s="206"/>
      <c r="Q336" s="206"/>
      <c r="T336" s="206"/>
      <c r="AA336" s="202"/>
    </row>
    <row r="337" spans="10:27" x14ac:dyDescent="0.25">
      <c r="J337" s="206"/>
      <c r="L337" s="206"/>
      <c r="O337" s="206"/>
      <c r="Q337" s="206"/>
      <c r="T337" s="206"/>
      <c r="AA337" s="202"/>
    </row>
    <row r="338" spans="10:27" x14ac:dyDescent="0.25">
      <c r="J338" s="206"/>
      <c r="L338" s="206"/>
      <c r="O338" s="206"/>
      <c r="Q338" s="206"/>
      <c r="T338" s="206"/>
      <c r="AA338" s="202"/>
    </row>
    <row r="339" spans="10:27" x14ac:dyDescent="0.25">
      <c r="J339" s="206"/>
      <c r="L339" s="206"/>
      <c r="O339" s="206"/>
      <c r="Q339" s="206"/>
      <c r="T339" s="206"/>
      <c r="AA339" s="202"/>
    </row>
    <row r="340" spans="10:27" x14ac:dyDescent="0.25">
      <c r="J340" s="206"/>
      <c r="L340" s="206"/>
      <c r="O340" s="206"/>
      <c r="Q340" s="206"/>
      <c r="T340" s="206"/>
      <c r="AA340" s="202"/>
    </row>
    <row r="341" spans="10:27" x14ac:dyDescent="0.25">
      <c r="J341" s="206"/>
      <c r="L341" s="206"/>
      <c r="O341" s="206"/>
      <c r="Q341" s="206"/>
      <c r="T341" s="206"/>
      <c r="AA341" s="202"/>
    </row>
    <row r="342" spans="10:27" x14ac:dyDescent="0.25">
      <c r="J342" s="206"/>
      <c r="L342" s="206"/>
      <c r="O342" s="206"/>
      <c r="Q342" s="206"/>
      <c r="T342" s="206"/>
      <c r="AA342" s="202"/>
    </row>
    <row r="343" spans="10:27" x14ac:dyDescent="0.25">
      <c r="J343" s="206"/>
      <c r="L343" s="206"/>
      <c r="O343" s="206"/>
      <c r="Q343" s="206"/>
      <c r="T343" s="206"/>
      <c r="AA343" s="202"/>
    </row>
    <row r="344" spans="10:27" x14ac:dyDescent="0.25">
      <c r="J344" s="206"/>
      <c r="L344" s="206"/>
      <c r="O344" s="206"/>
      <c r="Q344" s="206"/>
      <c r="T344" s="206"/>
      <c r="AA344" s="202"/>
    </row>
    <row r="345" spans="10:27" x14ac:dyDescent="0.25">
      <c r="J345" s="206"/>
      <c r="L345" s="206"/>
      <c r="O345" s="206"/>
      <c r="Q345" s="206"/>
      <c r="T345" s="206"/>
      <c r="AA345" s="202"/>
    </row>
    <row r="346" spans="10:27" x14ac:dyDescent="0.25">
      <c r="J346" s="206"/>
      <c r="L346" s="206"/>
      <c r="O346" s="206"/>
      <c r="Q346" s="206"/>
      <c r="T346" s="206"/>
      <c r="AA346" s="202"/>
    </row>
    <row r="347" spans="10:27" x14ac:dyDescent="0.25">
      <c r="J347" s="206"/>
      <c r="L347" s="206"/>
      <c r="O347" s="206"/>
      <c r="Q347" s="206"/>
      <c r="T347" s="206"/>
      <c r="AA347" s="202"/>
    </row>
    <row r="348" spans="10:27" x14ac:dyDescent="0.25">
      <c r="J348" s="206"/>
      <c r="L348" s="206"/>
      <c r="O348" s="206"/>
      <c r="Q348" s="206"/>
      <c r="T348" s="206"/>
      <c r="AA348" s="202"/>
    </row>
    <row r="349" spans="10:27" x14ac:dyDescent="0.25">
      <c r="J349" s="206"/>
      <c r="L349" s="206"/>
      <c r="O349" s="206"/>
      <c r="Q349" s="206"/>
      <c r="T349" s="206"/>
      <c r="AA349" s="202"/>
    </row>
    <row r="350" spans="10:27" x14ac:dyDescent="0.25">
      <c r="J350" s="206"/>
      <c r="L350" s="206"/>
      <c r="O350" s="206"/>
      <c r="Q350" s="206"/>
      <c r="T350" s="206"/>
      <c r="AA350" s="202"/>
    </row>
    <row r="351" spans="10:27" x14ac:dyDescent="0.25">
      <c r="J351" s="206"/>
      <c r="L351" s="206"/>
      <c r="O351" s="206"/>
      <c r="Q351" s="206"/>
      <c r="T351" s="206"/>
      <c r="AA351" s="202"/>
    </row>
    <row r="352" spans="10:27" x14ac:dyDescent="0.25">
      <c r="J352" s="206"/>
      <c r="L352" s="206"/>
      <c r="O352" s="206"/>
      <c r="Q352" s="206"/>
      <c r="T352" s="206"/>
      <c r="AA352" s="202"/>
    </row>
    <row r="353" spans="10:27" x14ac:dyDescent="0.25">
      <c r="J353" s="206"/>
      <c r="L353" s="206"/>
      <c r="O353" s="206"/>
      <c r="Q353" s="206"/>
      <c r="T353" s="206"/>
      <c r="AA353" s="202"/>
    </row>
    <row r="354" spans="10:27" x14ac:dyDescent="0.25">
      <c r="J354" s="206"/>
      <c r="L354" s="206"/>
      <c r="O354" s="206"/>
      <c r="Q354" s="206"/>
      <c r="T354" s="206"/>
      <c r="AA354" s="202"/>
    </row>
    <row r="355" spans="10:27" x14ac:dyDescent="0.25">
      <c r="J355" s="206"/>
      <c r="L355" s="206"/>
      <c r="O355" s="206"/>
      <c r="Q355" s="206"/>
      <c r="T355" s="206"/>
      <c r="AA355" s="202"/>
    </row>
    <row r="356" spans="10:27" x14ac:dyDescent="0.25">
      <c r="J356" s="206"/>
      <c r="L356" s="206"/>
      <c r="O356" s="206"/>
      <c r="Q356" s="206"/>
      <c r="T356" s="206"/>
      <c r="AA356" s="202"/>
    </row>
    <row r="357" spans="10:27" x14ac:dyDescent="0.25">
      <c r="J357" s="206"/>
      <c r="L357" s="206"/>
      <c r="O357" s="206"/>
      <c r="Q357" s="206"/>
      <c r="T357" s="206"/>
      <c r="AA357" s="202"/>
    </row>
    <row r="358" spans="10:27" x14ac:dyDescent="0.25">
      <c r="J358" s="206"/>
      <c r="L358" s="206"/>
      <c r="O358" s="206"/>
      <c r="Q358" s="206"/>
      <c r="T358" s="206"/>
      <c r="AA358" s="202"/>
    </row>
    <row r="359" spans="10:27" x14ac:dyDescent="0.25">
      <c r="J359" s="206"/>
      <c r="L359" s="206"/>
      <c r="O359" s="206"/>
      <c r="Q359" s="206"/>
      <c r="T359" s="206"/>
      <c r="AA359" s="202"/>
    </row>
    <row r="360" spans="10:27" x14ac:dyDescent="0.25">
      <c r="J360" s="206"/>
      <c r="L360" s="206"/>
      <c r="O360" s="206"/>
      <c r="Q360" s="206"/>
      <c r="T360" s="206"/>
      <c r="AA360" s="202"/>
    </row>
    <row r="361" spans="10:27" x14ac:dyDescent="0.25">
      <c r="J361" s="206"/>
      <c r="L361" s="206"/>
      <c r="O361" s="206"/>
      <c r="Q361" s="206"/>
      <c r="T361" s="206"/>
      <c r="AA361" s="202"/>
    </row>
    <row r="362" spans="10:27" x14ac:dyDescent="0.25">
      <c r="J362" s="206"/>
      <c r="L362" s="206"/>
      <c r="O362" s="206"/>
      <c r="Q362" s="206"/>
      <c r="T362" s="206"/>
      <c r="AA362" s="202"/>
    </row>
    <row r="363" spans="10:27" x14ac:dyDescent="0.25">
      <c r="J363" s="206"/>
      <c r="L363" s="206"/>
      <c r="O363" s="206"/>
      <c r="Q363" s="206"/>
      <c r="T363" s="206"/>
      <c r="AA363" s="202"/>
    </row>
    <row r="364" spans="10:27" x14ac:dyDescent="0.25">
      <c r="J364" s="206"/>
      <c r="L364" s="206"/>
      <c r="O364" s="206"/>
      <c r="Q364" s="206"/>
      <c r="T364" s="206"/>
      <c r="AA364" s="202"/>
    </row>
    <row r="365" spans="10:27" x14ac:dyDescent="0.25">
      <c r="J365" s="206"/>
      <c r="L365" s="206"/>
      <c r="O365" s="206"/>
      <c r="Q365" s="206"/>
      <c r="T365" s="206"/>
      <c r="AA365" s="202"/>
    </row>
    <row r="366" spans="10:27" x14ac:dyDescent="0.25">
      <c r="J366" s="206"/>
      <c r="L366" s="206"/>
      <c r="O366" s="206"/>
      <c r="Q366" s="206"/>
      <c r="T366" s="206"/>
      <c r="AA366" s="202"/>
    </row>
    <row r="367" spans="10:27" x14ac:dyDescent="0.25">
      <c r="J367" s="206"/>
      <c r="L367" s="206"/>
      <c r="O367" s="206"/>
      <c r="Q367" s="206"/>
      <c r="T367" s="206"/>
      <c r="AA367" s="202"/>
    </row>
    <row r="368" spans="10:27" x14ac:dyDescent="0.25">
      <c r="J368" s="206"/>
      <c r="L368" s="206"/>
      <c r="O368" s="206"/>
      <c r="Q368" s="206"/>
      <c r="T368" s="206"/>
      <c r="AA368" s="202"/>
    </row>
    <row r="369" spans="10:27" x14ac:dyDescent="0.25">
      <c r="J369" s="206"/>
      <c r="L369" s="206"/>
      <c r="O369" s="206"/>
      <c r="Q369" s="206"/>
      <c r="T369" s="206"/>
      <c r="AA369" s="202"/>
    </row>
    <row r="370" spans="10:27" x14ac:dyDescent="0.25">
      <c r="J370" s="206"/>
      <c r="L370" s="206"/>
      <c r="O370" s="206"/>
      <c r="Q370" s="206"/>
      <c r="T370" s="206"/>
      <c r="AA370" s="202"/>
    </row>
    <row r="371" spans="10:27" x14ac:dyDescent="0.25">
      <c r="J371" s="206"/>
      <c r="L371" s="206"/>
      <c r="O371" s="206"/>
      <c r="Q371" s="206"/>
      <c r="T371" s="206"/>
      <c r="AA371" s="202"/>
    </row>
    <row r="372" spans="10:27" x14ac:dyDescent="0.25">
      <c r="J372" s="206"/>
      <c r="L372" s="206"/>
      <c r="O372" s="206"/>
      <c r="Q372" s="206"/>
      <c r="T372" s="206"/>
      <c r="AA372" s="202"/>
    </row>
    <row r="373" spans="10:27" x14ac:dyDescent="0.25">
      <c r="J373" s="206"/>
      <c r="L373" s="206"/>
      <c r="O373" s="206"/>
      <c r="Q373" s="206"/>
      <c r="T373" s="206"/>
      <c r="AA373" s="202"/>
    </row>
    <row r="374" spans="10:27" x14ac:dyDescent="0.25">
      <c r="J374" s="206"/>
      <c r="L374" s="206"/>
      <c r="O374" s="206"/>
      <c r="Q374" s="206"/>
      <c r="T374" s="206"/>
      <c r="AA374" s="202"/>
    </row>
    <row r="375" spans="10:27" x14ac:dyDescent="0.25">
      <c r="J375" s="206"/>
      <c r="L375" s="206"/>
      <c r="O375" s="206"/>
      <c r="Q375" s="206"/>
      <c r="T375" s="206"/>
      <c r="AA375" s="202"/>
    </row>
    <row r="376" spans="10:27" x14ac:dyDescent="0.25">
      <c r="J376" s="206"/>
      <c r="L376" s="206"/>
      <c r="O376" s="206"/>
      <c r="Q376" s="206"/>
      <c r="T376" s="206"/>
      <c r="AA376" s="202"/>
    </row>
    <row r="377" spans="10:27" x14ac:dyDescent="0.25">
      <c r="J377" s="206"/>
      <c r="L377" s="206"/>
      <c r="O377" s="206"/>
      <c r="Q377" s="206"/>
      <c r="T377" s="206"/>
      <c r="AA377" s="202"/>
    </row>
    <row r="378" spans="10:27" x14ac:dyDescent="0.25">
      <c r="J378" s="206"/>
      <c r="L378" s="206"/>
      <c r="O378" s="206"/>
      <c r="Q378" s="206"/>
      <c r="T378" s="206"/>
      <c r="AA378" s="202"/>
    </row>
    <row r="379" spans="10:27" x14ac:dyDescent="0.25">
      <c r="J379" s="206"/>
      <c r="L379" s="206"/>
      <c r="O379" s="206"/>
      <c r="Q379" s="206"/>
      <c r="T379" s="206"/>
      <c r="AA379" s="202"/>
    </row>
    <row r="380" spans="10:27" x14ac:dyDescent="0.25">
      <c r="J380" s="206"/>
      <c r="L380" s="206"/>
      <c r="O380" s="206"/>
      <c r="Q380" s="206"/>
      <c r="T380" s="206"/>
      <c r="AA380" s="202"/>
    </row>
    <row r="381" spans="10:27" x14ac:dyDescent="0.25">
      <c r="J381" s="206"/>
      <c r="L381" s="206"/>
      <c r="O381" s="206"/>
      <c r="Q381" s="206"/>
      <c r="T381" s="206"/>
      <c r="AA381" s="202"/>
    </row>
    <row r="382" spans="10:27" x14ac:dyDescent="0.25">
      <c r="J382" s="206"/>
      <c r="L382" s="206"/>
      <c r="O382" s="206"/>
      <c r="Q382" s="206"/>
      <c r="T382" s="206"/>
      <c r="AA382" s="202"/>
    </row>
    <row r="383" spans="10:27" x14ac:dyDescent="0.25">
      <c r="J383" s="206"/>
      <c r="L383" s="206"/>
      <c r="O383" s="206"/>
      <c r="Q383" s="206"/>
      <c r="T383" s="206"/>
      <c r="AA383" s="202"/>
    </row>
    <row r="384" spans="10:27" x14ac:dyDescent="0.25">
      <c r="J384" s="206"/>
      <c r="L384" s="206"/>
      <c r="O384" s="206"/>
      <c r="Q384" s="206"/>
      <c r="T384" s="206"/>
      <c r="AA384" s="202"/>
    </row>
    <row r="385" spans="10:27" x14ac:dyDescent="0.25">
      <c r="J385" s="206"/>
      <c r="L385" s="206"/>
      <c r="O385" s="206"/>
      <c r="Q385" s="206"/>
      <c r="T385" s="206"/>
      <c r="AA385" s="202"/>
    </row>
    <row r="386" spans="10:27" x14ac:dyDescent="0.25">
      <c r="J386" s="206"/>
      <c r="L386" s="206"/>
      <c r="O386" s="206"/>
      <c r="Q386" s="206"/>
      <c r="T386" s="206"/>
      <c r="AA386" s="202"/>
    </row>
    <row r="387" spans="10:27" x14ac:dyDescent="0.25">
      <c r="J387" s="206"/>
      <c r="L387" s="206"/>
      <c r="O387" s="206"/>
      <c r="Q387" s="206"/>
      <c r="T387" s="206"/>
      <c r="AA387" s="202"/>
    </row>
    <row r="388" spans="10:27" x14ac:dyDescent="0.25">
      <c r="J388" s="206"/>
      <c r="L388" s="206"/>
      <c r="O388" s="206"/>
      <c r="Q388" s="206"/>
      <c r="T388" s="206"/>
      <c r="AA388" s="202"/>
    </row>
    <row r="389" spans="10:27" x14ac:dyDescent="0.25">
      <c r="J389" s="206"/>
      <c r="L389" s="206"/>
      <c r="O389" s="206"/>
      <c r="Q389" s="206"/>
      <c r="T389" s="206"/>
      <c r="AA389" s="202"/>
    </row>
    <row r="390" spans="10:27" x14ac:dyDescent="0.25">
      <c r="J390" s="206"/>
      <c r="L390" s="206"/>
      <c r="O390" s="206"/>
      <c r="Q390" s="206"/>
      <c r="T390" s="206"/>
      <c r="AA390" s="202"/>
    </row>
    <row r="391" spans="10:27" x14ac:dyDescent="0.25">
      <c r="J391" s="206"/>
      <c r="L391" s="206"/>
      <c r="O391" s="206"/>
      <c r="Q391" s="206"/>
      <c r="T391" s="206"/>
      <c r="AA391" s="202"/>
    </row>
    <row r="392" spans="10:27" x14ac:dyDescent="0.25">
      <c r="J392" s="206"/>
      <c r="L392" s="206"/>
      <c r="O392" s="206"/>
      <c r="Q392" s="206"/>
      <c r="T392" s="206"/>
      <c r="AA392" s="202"/>
    </row>
    <row r="393" spans="10:27" x14ac:dyDescent="0.25">
      <c r="J393" s="206"/>
      <c r="L393" s="206"/>
      <c r="O393" s="206"/>
      <c r="Q393" s="206"/>
      <c r="T393" s="206"/>
      <c r="AA393" s="202"/>
    </row>
    <row r="394" spans="10:27" x14ac:dyDescent="0.25">
      <c r="J394" s="206"/>
      <c r="L394" s="206"/>
      <c r="O394" s="206"/>
      <c r="Q394" s="206"/>
      <c r="T394" s="206"/>
      <c r="AA394" s="202"/>
    </row>
    <row r="395" spans="10:27" x14ac:dyDescent="0.25">
      <c r="J395" s="206"/>
      <c r="L395" s="206"/>
      <c r="O395" s="206"/>
      <c r="Q395" s="206"/>
      <c r="T395" s="206"/>
      <c r="AA395" s="202"/>
    </row>
    <row r="396" spans="10:27" x14ac:dyDescent="0.25">
      <c r="J396" s="206"/>
      <c r="L396" s="206"/>
      <c r="O396" s="206"/>
      <c r="Q396" s="206"/>
      <c r="T396" s="206"/>
      <c r="AA396" s="202"/>
    </row>
    <row r="397" spans="10:27" x14ac:dyDescent="0.25">
      <c r="J397" s="206"/>
      <c r="L397" s="206"/>
      <c r="O397" s="206"/>
      <c r="Q397" s="206"/>
      <c r="T397" s="206"/>
      <c r="AA397" s="202"/>
    </row>
    <row r="398" spans="10:27" x14ac:dyDescent="0.25">
      <c r="J398" s="206"/>
      <c r="L398" s="206"/>
      <c r="O398" s="206"/>
      <c r="Q398" s="206"/>
      <c r="T398" s="206"/>
      <c r="AA398" s="202"/>
    </row>
    <row r="399" spans="10:27" x14ac:dyDescent="0.25">
      <c r="J399" s="206"/>
      <c r="L399" s="206"/>
      <c r="O399" s="206"/>
      <c r="Q399" s="206"/>
      <c r="T399" s="206"/>
      <c r="AA399" s="202"/>
    </row>
    <row r="400" spans="10:27" x14ac:dyDescent="0.25">
      <c r="J400" s="206"/>
      <c r="L400" s="206"/>
      <c r="O400" s="206"/>
      <c r="Q400" s="206"/>
      <c r="T400" s="206"/>
      <c r="AA400" s="202"/>
    </row>
    <row r="401" spans="10:27" x14ac:dyDescent="0.25">
      <c r="J401" s="206"/>
      <c r="L401" s="206"/>
      <c r="O401" s="206"/>
      <c r="Q401" s="206"/>
      <c r="T401" s="206"/>
      <c r="AA401" s="202"/>
    </row>
    <row r="402" spans="10:27" x14ac:dyDescent="0.25">
      <c r="J402" s="206"/>
      <c r="L402" s="206"/>
      <c r="O402" s="206"/>
      <c r="Q402" s="206"/>
      <c r="T402" s="206"/>
      <c r="AA402" s="202"/>
    </row>
    <row r="403" spans="10:27" x14ac:dyDescent="0.25">
      <c r="J403" s="206"/>
      <c r="L403" s="206"/>
      <c r="O403" s="206"/>
      <c r="Q403" s="206"/>
      <c r="T403" s="206"/>
      <c r="AA403" s="202"/>
    </row>
    <row r="404" spans="10:27" x14ac:dyDescent="0.25">
      <c r="J404" s="206"/>
      <c r="L404" s="206"/>
      <c r="O404" s="206"/>
      <c r="Q404" s="206"/>
      <c r="T404" s="206"/>
      <c r="AA404" s="202"/>
    </row>
    <row r="405" spans="10:27" x14ac:dyDescent="0.25">
      <c r="J405" s="206"/>
      <c r="L405" s="206"/>
      <c r="O405" s="206"/>
      <c r="Q405" s="206"/>
      <c r="T405" s="206"/>
      <c r="AA405" s="202"/>
    </row>
    <row r="406" spans="10:27" x14ac:dyDescent="0.25">
      <c r="J406" s="206"/>
      <c r="L406" s="206"/>
      <c r="O406" s="206"/>
      <c r="Q406" s="206"/>
      <c r="T406" s="206"/>
      <c r="AA406" s="202"/>
    </row>
    <row r="407" spans="10:27" x14ac:dyDescent="0.25">
      <c r="J407" s="206"/>
      <c r="L407" s="206"/>
      <c r="O407" s="206"/>
      <c r="Q407" s="206"/>
      <c r="T407" s="206"/>
      <c r="AA407" s="202"/>
    </row>
    <row r="408" spans="10:27" x14ac:dyDescent="0.25">
      <c r="J408" s="206"/>
      <c r="L408" s="206"/>
      <c r="O408" s="206"/>
      <c r="Q408" s="206"/>
      <c r="T408" s="206"/>
      <c r="AA408" s="202"/>
    </row>
    <row r="409" spans="10:27" x14ac:dyDescent="0.25">
      <c r="J409" s="206"/>
      <c r="L409" s="206"/>
      <c r="O409" s="206"/>
      <c r="Q409" s="206"/>
      <c r="T409" s="206"/>
      <c r="AA409" s="202"/>
    </row>
    <row r="410" spans="10:27" x14ac:dyDescent="0.25">
      <c r="J410" s="206"/>
      <c r="L410" s="206"/>
      <c r="O410" s="206"/>
      <c r="Q410" s="206"/>
      <c r="T410" s="206"/>
      <c r="AA410" s="202"/>
    </row>
    <row r="411" spans="10:27" x14ac:dyDescent="0.25">
      <c r="J411" s="206"/>
      <c r="L411" s="206"/>
      <c r="O411" s="206"/>
      <c r="Q411" s="206"/>
      <c r="T411" s="206"/>
      <c r="AA411" s="202"/>
    </row>
    <row r="412" spans="10:27" x14ac:dyDescent="0.25">
      <c r="J412" s="206"/>
      <c r="L412" s="206"/>
      <c r="O412" s="206"/>
      <c r="Q412" s="206"/>
      <c r="T412" s="206"/>
      <c r="AA412" s="202"/>
    </row>
    <row r="413" spans="10:27" x14ac:dyDescent="0.25">
      <c r="J413" s="206"/>
      <c r="L413" s="206"/>
      <c r="O413" s="206"/>
      <c r="Q413" s="206"/>
      <c r="T413" s="206"/>
      <c r="AA413" s="202"/>
    </row>
    <row r="414" spans="10:27" x14ac:dyDescent="0.25">
      <c r="J414" s="206"/>
      <c r="L414" s="206"/>
      <c r="O414" s="206"/>
      <c r="Q414" s="206"/>
      <c r="T414" s="206"/>
      <c r="AA414" s="202"/>
    </row>
    <row r="415" spans="10:27" x14ac:dyDescent="0.25">
      <c r="J415" s="206"/>
      <c r="L415" s="206"/>
      <c r="O415" s="206"/>
      <c r="Q415" s="206"/>
      <c r="T415" s="206"/>
      <c r="AA415" s="202"/>
    </row>
    <row r="416" spans="10:27" x14ac:dyDescent="0.25">
      <c r="J416" s="206"/>
      <c r="L416" s="206"/>
      <c r="O416" s="206"/>
      <c r="Q416" s="206"/>
      <c r="T416" s="206"/>
      <c r="AA416" s="202"/>
    </row>
    <row r="417" spans="10:27" x14ac:dyDescent="0.25">
      <c r="J417" s="206"/>
      <c r="L417" s="206"/>
      <c r="O417" s="206"/>
      <c r="Q417" s="206"/>
      <c r="T417" s="206"/>
      <c r="AA417" s="202"/>
    </row>
    <row r="418" spans="10:27" x14ac:dyDescent="0.25">
      <c r="J418" s="206"/>
      <c r="L418" s="206"/>
      <c r="O418" s="206"/>
      <c r="Q418" s="206"/>
      <c r="T418" s="206"/>
      <c r="AA418" s="202"/>
    </row>
    <row r="419" spans="10:27" x14ac:dyDescent="0.25">
      <c r="J419" s="206"/>
      <c r="L419" s="206"/>
      <c r="O419" s="206"/>
      <c r="Q419" s="206"/>
      <c r="T419" s="206"/>
      <c r="AA419" s="202"/>
    </row>
    <row r="420" spans="10:27" x14ac:dyDescent="0.25">
      <c r="J420" s="206"/>
      <c r="L420" s="206"/>
      <c r="O420" s="206"/>
      <c r="Q420" s="206"/>
      <c r="T420" s="206"/>
      <c r="AA420" s="202"/>
    </row>
    <row r="421" spans="10:27" x14ac:dyDescent="0.25">
      <c r="J421" s="206"/>
      <c r="L421" s="206"/>
      <c r="O421" s="206"/>
      <c r="Q421" s="206"/>
      <c r="T421" s="206"/>
      <c r="AA421" s="202"/>
    </row>
    <row r="422" spans="10:27" x14ac:dyDescent="0.25">
      <c r="J422" s="206"/>
      <c r="L422" s="206"/>
      <c r="O422" s="206"/>
      <c r="Q422" s="206"/>
      <c r="T422" s="206"/>
      <c r="AA422" s="202"/>
    </row>
    <row r="423" spans="10:27" x14ac:dyDescent="0.25">
      <c r="J423" s="206"/>
      <c r="L423" s="206"/>
      <c r="O423" s="206"/>
      <c r="Q423" s="206"/>
      <c r="T423" s="206"/>
      <c r="AA423" s="202"/>
    </row>
    <row r="424" spans="10:27" x14ac:dyDescent="0.25">
      <c r="J424" s="206"/>
      <c r="L424" s="206"/>
      <c r="O424" s="206"/>
      <c r="Q424" s="206"/>
      <c r="T424" s="206"/>
      <c r="AA424" s="202"/>
    </row>
    <row r="425" spans="10:27" x14ac:dyDescent="0.25">
      <c r="J425" s="206"/>
      <c r="L425" s="206"/>
      <c r="O425" s="206"/>
      <c r="Q425" s="206"/>
      <c r="T425" s="206"/>
      <c r="AA425" s="202"/>
    </row>
    <row r="426" spans="10:27" x14ac:dyDescent="0.25">
      <c r="J426" s="206"/>
      <c r="L426" s="206"/>
      <c r="O426" s="206"/>
      <c r="Q426" s="206"/>
      <c r="T426" s="206"/>
      <c r="AA426" s="202"/>
    </row>
    <row r="427" spans="10:27" x14ac:dyDescent="0.25">
      <c r="J427" s="206"/>
      <c r="L427" s="206"/>
      <c r="O427" s="206"/>
      <c r="Q427" s="206"/>
      <c r="T427" s="206"/>
      <c r="AA427" s="202"/>
    </row>
    <row r="428" spans="10:27" x14ac:dyDescent="0.25">
      <c r="J428" s="206"/>
      <c r="L428" s="206"/>
      <c r="O428" s="206"/>
      <c r="Q428" s="206"/>
      <c r="T428" s="206"/>
      <c r="AA428" s="202"/>
    </row>
    <row r="429" spans="10:27" x14ac:dyDescent="0.25">
      <c r="J429" s="206"/>
      <c r="L429" s="206"/>
      <c r="O429" s="206"/>
      <c r="Q429" s="206"/>
      <c r="T429" s="206"/>
      <c r="AA429" s="202"/>
    </row>
    <row r="430" spans="10:27" x14ac:dyDescent="0.25">
      <c r="J430" s="206"/>
      <c r="L430" s="206"/>
      <c r="O430" s="206"/>
      <c r="Q430" s="206"/>
      <c r="T430" s="206"/>
      <c r="AA430" s="202"/>
    </row>
    <row r="431" spans="10:27" x14ac:dyDescent="0.25">
      <c r="J431" s="206"/>
      <c r="L431" s="206"/>
      <c r="O431" s="206"/>
      <c r="Q431" s="206"/>
      <c r="T431" s="206"/>
      <c r="AA431" s="202"/>
    </row>
    <row r="432" spans="10:27" x14ac:dyDescent="0.25">
      <c r="J432" s="206"/>
      <c r="L432" s="206"/>
      <c r="O432" s="206"/>
      <c r="Q432" s="206"/>
      <c r="T432" s="206"/>
      <c r="AA432" s="202"/>
    </row>
    <row r="433" spans="10:27" x14ac:dyDescent="0.25">
      <c r="J433" s="206"/>
      <c r="L433" s="206"/>
      <c r="O433" s="206"/>
      <c r="Q433" s="206"/>
      <c r="T433" s="206"/>
      <c r="AA433" s="202"/>
    </row>
    <row r="434" spans="10:27" x14ac:dyDescent="0.25">
      <c r="J434" s="206"/>
      <c r="L434" s="206"/>
      <c r="O434" s="206"/>
      <c r="Q434" s="206"/>
      <c r="T434" s="206"/>
      <c r="AA434" s="202"/>
    </row>
    <row r="435" spans="10:27" x14ac:dyDescent="0.25">
      <c r="J435" s="206"/>
      <c r="L435" s="206"/>
      <c r="O435" s="206"/>
      <c r="Q435" s="206"/>
      <c r="T435" s="206"/>
      <c r="AA435" s="202"/>
    </row>
    <row r="436" spans="10:27" x14ac:dyDescent="0.25">
      <c r="J436" s="206"/>
      <c r="L436" s="206"/>
      <c r="O436" s="206"/>
      <c r="Q436" s="206"/>
      <c r="T436" s="206"/>
      <c r="AA436" s="202"/>
    </row>
    <row r="437" spans="10:27" x14ac:dyDescent="0.25">
      <c r="J437" s="206"/>
      <c r="L437" s="206"/>
      <c r="O437" s="206"/>
      <c r="Q437" s="206"/>
      <c r="T437" s="206"/>
      <c r="AA437" s="202"/>
    </row>
    <row r="438" spans="10:27" x14ac:dyDescent="0.25">
      <c r="J438" s="206"/>
      <c r="L438" s="206"/>
      <c r="O438" s="206"/>
      <c r="Q438" s="206"/>
      <c r="T438" s="206"/>
      <c r="AA438" s="202"/>
    </row>
    <row r="439" spans="10:27" x14ac:dyDescent="0.25">
      <c r="J439" s="206"/>
      <c r="L439" s="206"/>
      <c r="O439" s="206"/>
      <c r="Q439" s="206"/>
      <c r="T439" s="206"/>
      <c r="AA439" s="202"/>
    </row>
    <row r="440" spans="10:27" x14ac:dyDescent="0.25">
      <c r="J440" s="206"/>
      <c r="L440" s="206"/>
      <c r="O440" s="206"/>
      <c r="Q440" s="206"/>
      <c r="T440" s="206"/>
      <c r="AA440" s="202"/>
    </row>
    <row r="441" spans="10:27" x14ac:dyDescent="0.25">
      <c r="J441" s="206"/>
      <c r="L441" s="206"/>
      <c r="O441" s="206"/>
      <c r="Q441" s="206"/>
      <c r="T441" s="206"/>
      <c r="AA441" s="202"/>
    </row>
    <row r="442" spans="10:27" x14ac:dyDescent="0.25">
      <c r="J442" s="206"/>
      <c r="L442" s="206"/>
      <c r="O442" s="206"/>
      <c r="Q442" s="206"/>
      <c r="T442" s="206"/>
      <c r="AA442" s="202"/>
    </row>
    <row r="443" spans="10:27" x14ac:dyDescent="0.25">
      <c r="J443" s="206"/>
      <c r="L443" s="206"/>
      <c r="O443" s="206"/>
      <c r="Q443" s="206"/>
      <c r="T443" s="206"/>
      <c r="AA443" s="202"/>
    </row>
    <row r="444" spans="10:27" x14ac:dyDescent="0.25">
      <c r="J444" s="206"/>
      <c r="L444" s="206"/>
      <c r="O444" s="206"/>
      <c r="Q444" s="206"/>
      <c r="T444" s="206"/>
      <c r="AA444" s="202"/>
    </row>
    <row r="445" spans="10:27" x14ac:dyDescent="0.25">
      <c r="J445" s="206"/>
      <c r="L445" s="206"/>
      <c r="O445" s="206"/>
      <c r="Q445" s="206"/>
      <c r="T445" s="206"/>
      <c r="AA445" s="202"/>
    </row>
    <row r="446" spans="10:27" x14ac:dyDescent="0.25">
      <c r="J446" s="206"/>
      <c r="L446" s="206"/>
      <c r="O446" s="206"/>
      <c r="Q446" s="206"/>
      <c r="T446" s="206"/>
      <c r="AA446" s="202"/>
    </row>
    <row r="447" spans="10:27" x14ac:dyDescent="0.25">
      <c r="J447" s="206"/>
      <c r="L447" s="206"/>
      <c r="O447" s="206"/>
      <c r="Q447" s="206"/>
      <c r="T447" s="206"/>
      <c r="AA447" s="202"/>
    </row>
    <row r="448" spans="10:27" x14ac:dyDescent="0.25">
      <c r="J448" s="206"/>
      <c r="L448" s="206"/>
      <c r="O448" s="206"/>
      <c r="Q448" s="206"/>
      <c r="T448" s="206"/>
      <c r="AA448" s="202"/>
    </row>
    <row r="449" spans="10:27" x14ac:dyDescent="0.25">
      <c r="J449" s="206"/>
      <c r="L449" s="206"/>
      <c r="O449" s="206"/>
      <c r="Q449" s="206"/>
      <c r="T449" s="206"/>
      <c r="AA449" s="202"/>
    </row>
    <row r="450" spans="10:27" x14ac:dyDescent="0.25">
      <c r="J450" s="206"/>
      <c r="L450" s="206"/>
      <c r="O450" s="206"/>
      <c r="Q450" s="206"/>
      <c r="T450" s="206"/>
      <c r="AA450" s="202"/>
    </row>
    <row r="451" spans="10:27" x14ac:dyDescent="0.25">
      <c r="J451" s="206"/>
      <c r="L451" s="206"/>
      <c r="O451" s="206"/>
      <c r="Q451" s="206"/>
      <c r="T451" s="206"/>
      <c r="AA451" s="202"/>
    </row>
    <row r="452" spans="10:27" x14ac:dyDescent="0.25">
      <c r="J452" s="206"/>
      <c r="L452" s="206"/>
      <c r="O452" s="206"/>
      <c r="Q452" s="206"/>
      <c r="T452" s="206"/>
      <c r="AA452" s="202"/>
    </row>
    <row r="453" spans="10:27" x14ac:dyDescent="0.25">
      <c r="J453" s="206"/>
      <c r="L453" s="206"/>
      <c r="O453" s="206"/>
      <c r="Q453" s="206"/>
      <c r="T453" s="206"/>
      <c r="AA453" s="202"/>
    </row>
    <row r="454" spans="10:27" x14ac:dyDescent="0.25">
      <c r="J454" s="206"/>
      <c r="L454" s="206"/>
      <c r="O454" s="206"/>
      <c r="Q454" s="206"/>
      <c r="T454" s="206"/>
      <c r="AA454" s="202"/>
    </row>
    <row r="455" spans="10:27" x14ac:dyDescent="0.25">
      <c r="J455" s="206"/>
      <c r="L455" s="206"/>
      <c r="O455" s="206"/>
      <c r="Q455" s="206"/>
      <c r="T455" s="206"/>
      <c r="AA455" s="202"/>
    </row>
    <row r="456" spans="10:27" x14ac:dyDescent="0.25">
      <c r="J456" s="206"/>
      <c r="L456" s="206"/>
      <c r="O456" s="206"/>
      <c r="Q456" s="206"/>
      <c r="T456" s="206"/>
      <c r="AA456" s="202"/>
    </row>
    <row r="457" spans="10:27" x14ac:dyDescent="0.25">
      <c r="J457" s="206"/>
      <c r="L457" s="206"/>
      <c r="O457" s="206"/>
      <c r="Q457" s="206"/>
      <c r="T457" s="206"/>
      <c r="AA457" s="202"/>
    </row>
    <row r="458" spans="10:27" x14ac:dyDescent="0.25">
      <c r="J458" s="206"/>
      <c r="L458" s="206"/>
      <c r="O458" s="206"/>
      <c r="Q458" s="206"/>
      <c r="T458" s="206"/>
      <c r="AA458" s="202"/>
    </row>
    <row r="459" spans="10:27" x14ac:dyDescent="0.25">
      <c r="J459" s="206"/>
      <c r="L459" s="206"/>
      <c r="O459" s="206"/>
      <c r="Q459" s="206"/>
      <c r="T459" s="206"/>
      <c r="AA459" s="202"/>
    </row>
    <row r="460" spans="10:27" x14ac:dyDescent="0.25">
      <c r="J460" s="206"/>
      <c r="L460" s="206"/>
      <c r="O460" s="206"/>
      <c r="Q460" s="206"/>
      <c r="T460" s="206"/>
      <c r="AA460" s="202"/>
    </row>
    <row r="461" spans="10:27" x14ac:dyDescent="0.25">
      <c r="J461" s="206"/>
      <c r="L461" s="206"/>
      <c r="O461" s="206"/>
      <c r="Q461" s="206"/>
      <c r="T461" s="206"/>
      <c r="AA461" s="202"/>
    </row>
    <row r="462" spans="10:27" x14ac:dyDescent="0.25">
      <c r="J462" s="206"/>
      <c r="L462" s="206"/>
      <c r="O462" s="206"/>
      <c r="Q462" s="206"/>
      <c r="T462" s="206"/>
      <c r="AA462" s="202"/>
    </row>
    <row r="463" spans="10:27" x14ac:dyDescent="0.25">
      <c r="J463" s="206"/>
      <c r="L463" s="206"/>
      <c r="O463" s="206"/>
      <c r="Q463" s="206"/>
      <c r="T463" s="206"/>
      <c r="AA463" s="202"/>
    </row>
    <row r="464" spans="10:27" x14ac:dyDescent="0.25">
      <c r="J464" s="206"/>
      <c r="L464" s="206"/>
      <c r="O464" s="206"/>
      <c r="Q464" s="206"/>
      <c r="T464" s="206"/>
      <c r="AA464" s="202"/>
    </row>
    <row r="465" spans="10:27" x14ac:dyDescent="0.25">
      <c r="J465" s="206"/>
      <c r="L465" s="206"/>
      <c r="O465" s="206"/>
      <c r="Q465" s="206"/>
      <c r="T465" s="206"/>
      <c r="AA465" s="202"/>
    </row>
    <row r="466" spans="10:27" x14ac:dyDescent="0.25">
      <c r="J466" s="206"/>
      <c r="L466" s="206"/>
      <c r="O466" s="206"/>
      <c r="Q466" s="206"/>
      <c r="T466" s="206"/>
      <c r="AA466" s="202"/>
    </row>
    <row r="467" spans="10:27" x14ac:dyDescent="0.25">
      <c r="J467" s="206"/>
      <c r="L467" s="206"/>
      <c r="O467" s="206"/>
      <c r="Q467" s="206"/>
      <c r="T467" s="206"/>
      <c r="AA467" s="202"/>
    </row>
    <row r="468" spans="10:27" x14ac:dyDescent="0.25">
      <c r="J468" s="206"/>
      <c r="L468" s="206"/>
      <c r="O468" s="206"/>
      <c r="Q468" s="206"/>
      <c r="T468" s="206"/>
      <c r="AA468" s="202"/>
    </row>
    <row r="469" spans="10:27" x14ac:dyDescent="0.25">
      <c r="J469" s="206"/>
      <c r="L469" s="206"/>
      <c r="O469" s="206"/>
      <c r="Q469" s="206"/>
      <c r="T469" s="206"/>
      <c r="AA469" s="202"/>
    </row>
    <row r="470" spans="10:27" x14ac:dyDescent="0.25">
      <c r="J470" s="206"/>
      <c r="L470" s="206"/>
      <c r="O470" s="206"/>
      <c r="Q470" s="206"/>
      <c r="T470" s="206"/>
      <c r="AA470" s="202"/>
    </row>
    <row r="471" spans="10:27" x14ac:dyDescent="0.25">
      <c r="J471" s="206"/>
      <c r="L471" s="206"/>
      <c r="O471" s="206"/>
      <c r="Q471" s="206"/>
      <c r="T471" s="206"/>
      <c r="AA471" s="202"/>
    </row>
    <row r="472" spans="10:27" x14ac:dyDescent="0.25">
      <c r="J472" s="206"/>
      <c r="L472" s="206"/>
      <c r="O472" s="206"/>
      <c r="Q472" s="206"/>
      <c r="T472" s="206"/>
      <c r="AA472" s="202"/>
    </row>
    <row r="473" spans="10:27" x14ac:dyDescent="0.25">
      <c r="J473" s="206"/>
      <c r="L473" s="206"/>
      <c r="O473" s="206"/>
      <c r="Q473" s="206"/>
      <c r="T473" s="206"/>
      <c r="AA473" s="202"/>
    </row>
    <row r="474" spans="10:27" x14ac:dyDescent="0.25">
      <c r="J474" s="206"/>
      <c r="L474" s="206"/>
      <c r="O474" s="206"/>
      <c r="Q474" s="206"/>
      <c r="T474" s="206"/>
      <c r="AA474" s="202"/>
    </row>
    <row r="475" spans="10:27" x14ac:dyDescent="0.25">
      <c r="J475" s="206"/>
      <c r="L475" s="206"/>
      <c r="O475" s="206"/>
      <c r="Q475" s="206"/>
      <c r="T475" s="206"/>
      <c r="AA475" s="202"/>
    </row>
    <row r="476" spans="10:27" x14ac:dyDescent="0.25">
      <c r="J476" s="206"/>
      <c r="L476" s="206"/>
      <c r="O476" s="206"/>
      <c r="Q476" s="206"/>
      <c r="T476" s="206"/>
      <c r="AA476" s="202"/>
    </row>
    <row r="477" spans="10:27" x14ac:dyDescent="0.25">
      <c r="J477" s="206"/>
      <c r="L477" s="206"/>
      <c r="O477" s="206"/>
      <c r="Q477" s="206"/>
      <c r="T477" s="206"/>
      <c r="AA477" s="202"/>
    </row>
    <row r="478" spans="10:27" x14ac:dyDescent="0.25">
      <c r="J478" s="206"/>
      <c r="L478" s="206"/>
      <c r="O478" s="206"/>
      <c r="Q478" s="206"/>
      <c r="T478" s="206"/>
      <c r="AA478" s="202"/>
    </row>
    <row r="479" spans="10:27" x14ac:dyDescent="0.25">
      <c r="J479" s="206"/>
      <c r="L479" s="206"/>
      <c r="O479" s="206"/>
      <c r="Q479" s="206"/>
      <c r="T479" s="206"/>
      <c r="AA479" s="202"/>
    </row>
    <row r="480" spans="10:27" x14ac:dyDescent="0.25">
      <c r="J480" s="206"/>
      <c r="L480" s="206"/>
      <c r="O480" s="206"/>
      <c r="Q480" s="206"/>
      <c r="T480" s="206"/>
      <c r="AA480" s="202"/>
    </row>
    <row r="481" spans="10:27" x14ac:dyDescent="0.25">
      <c r="J481" s="206"/>
      <c r="L481" s="206"/>
      <c r="O481" s="206"/>
      <c r="Q481" s="206"/>
      <c r="T481" s="206"/>
      <c r="AA481" s="202"/>
    </row>
    <row r="482" spans="10:27" x14ac:dyDescent="0.25">
      <c r="J482" s="206"/>
      <c r="L482" s="206"/>
      <c r="O482" s="206"/>
      <c r="Q482" s="206"/>
      <c r="T482" s="206"/>
      <c r="AA482" s="202"/>
    </row>
    <row r="483" spans="10:27" x14ac:dyDescent="0.25">
      <c r="J483" s="206"/>
      <c r="L483" s="206"/>
      <c r="O483" s="206"/>
      <c r="Q483" s="206"/>
      <c r="T483" s="206"/>
      <c r="AA483" s="202"/>
    </row>
    <row r="484" spans="10:27" x14ac:dyDescent="0.25">
      <c r="J484" s="206"/>
      <c r="L484" s="206"/>
      <c r="O484" s="206"/>
      <c r="Q484" s="206"/>
      <c r="T484" s="206"/>
      <c r="AA484" s="202"/>
    </row>
    <row r="485" spans="10:27" x14ac:dyDescent="0.25">
      <c r="J485" s="206"/>
      <c r="L485" s="206"/>
      <c r="O485" s="206"/>
      <c r="Q485" s="206"/>
      <c r="T485" s="206"/>
      <c r="AA485" s="202"/>
    </row>
    <row r="486" spans="10:27" x14ac:dyDescent="0.25">
      <c r="J486" s="206"/>
      <c r="L486" s="206"/>
      <c r="O486" s="206"/>
      <c r="Q486" s="206"/>
      <c r="T486" s="206"/>
      <c r="AA486" s="202"/>
    </row>
    <row r="487" spans="10:27" x14ac:dyDescent="0.25">
      <c r="J487" s="206"/>
      <c r="L487" s="206"/>
      <c r="O487" s="206"/>
      <c r="Q487" s="206"/>
      <c r="T487" s="206"/>
      <c r="AA487" s="202"/>
    </row>
    <row r="488" spans="10:27" x14ac:dyDescent="0.25">
      <c r="J488" s="206"/>
      <c r="L488" s="206"/>
      <c r="O488" s="206"/>
      <c r="Q488" s="206"/>
      <c r="T488" s="206"/>
      <c r="AA488" s="202"/>
    </row>
    <row r="489" spans="10:27" x14ac:dyDescent="0.25">
      <c r="J489" s="206"/>
      <c r="L489" s="206"/>
      <c r="O489" s="206"/>
      <c r="Q489" s="206"/>
      <c r="T489" s="206"/>
      <c r="AA489" s="202"/>
    </row>
    <row r="490" spans="10:27" x14ac:dyDescent="0.25">
      <c r="J490" s="206"/>
      <c r="L490" s="206"/>
      <c r="O490" s="206"/>
      <c r="Q490" s="206"/>
      <c r="T490" s="206"/>
      <c r="AA490" s="202"/>
    </row>
    <row r="491" spans="10:27" x14ac:dyDescent="0.25">
      <c r="J491" s="206"/>
      <c r="L491" s="206"/>
      <c r="O491" s="206"/>
      <c r="Q491" s="206"/>
      <c r="T491" s="206"/>
      <c r="AA491" s="202"/>
    </row>
    <row r="492" spans="10:27" x14ac:dyDescent="0.25">
      <c r="J492" s="206"/>
      <c r="L492" s="206"/>
      <c r="O492" s="206"/>
      <c r="Q492" s="206"/>
      <c r="T492" s="206"/>
      <c r="AA492" s="202"/>
    </row>
    <row r="493" spans="10:27" x14ac:dyDescent="0.25">
      <c r="J493" s="206"/>
      <c r="L493" s="206"/>
      <c r="O493" s="206"/>
      <c r="Q493" s="206"/>
      <c r="T493" s="206"/>
      <c r="AA493" s="202"/>
    </row>
    <row r="494" spans="10:27" x14ac:dyDescent="0.25">
      <c r="J494" s="206"/>
      <c r="L494" s="206"/>
      <c r="O494" s="206"/>
      <c r="Q494" s="206"/>
      <c r="T494" s="206"/>
      <c r="AA494" s="202"/>
    </row>
    <row r="495" spans="10:27" x14ac:dyDescent="0.25">
      <c r="J495" s="206"/>
      <c r="L495" s="206"/>
      <c r="O495" s="206"/>
      <c r="Q495" s="206"/>
      <c r="T495" s="206"/>
      <c r="AA495" s="202"/>
    </row>
    <row r="496" spans="10:27" x14ac:dyDescent="0.25">
      <c r="J496" s="206"/>
      <c r="L496" s="206"/>
      <c r="O496" s="206"/>
      <c r="Q496" s="206"/>
      <c r="T496" s="206"/>
      <c r="AA496" s="202"/>
    </row>
    <row r="497" spans="10:27" x14ac:dyDescent="0.25">
      <c r="J497" s="206"/>
      <c r="L497" s="206"/>
      <c r="O497" s="206"/>
      <c r="Q497" s="206"/>
      <c r="T497" s="206"/>
      <c r="AA497" s="202"/>
    </row>
    <row r="498" spans="10:27" x14ac:dyDescent="0.25">
      <c r="J498" s="206"/>
      <c r="L498" s="206"/>
      <c r="O498" s="206"/>
      <c r="Q498" s="206"/>
      <c r="T498" s="206"/>
      <c r="AA498" s="202"/>
    </row>
    <row r="499" spans="10:27" x14ac:dyDescent="0.25">
      <c r="J499" s="206"/>
      <c r="L499" s="206"/>
      <c r="O499" s="206"/>
      <c r="Q499" s="206"/>
      <c r="T499" s="206"/>
      <c r="AA499" s="202"/>
    </row>
    <row r="500" spans="10:27" x14ac:dyDescent="0.25">
      <c r="J500" s="206"/>
      <c r="L500" s="206"/>
      <c r="O500" s="206"/>
      <c r="Q500" s="206"/>
      <c r="T500" s="206"/>
      <c r="AA500" s="202"/>
    </row>
    <row r="501" spans="10:27" x14ac:dyDescent="0.25">
      <c r="J501" s="206"/>
      <c r="L501" s="206"/>
      <c r="O501" s="206"/>
      <c r="Q501" s="206"/>
      <c r="T501" s="206"/>
      <c r="AA501" s="202"/>
    </row>
    <row r="502" spans="10:27" x14ac:dyDescent="0.25">
      <c r="J502" s="206"/>
      <c r="L502" s="206"/>
      <c r="O502" s="206"/>
      <c r="Q502" s="206"/>
      <c r="T502" s="206"/>
      <c r="AA502" s="202"/>
    </row>
    <row r="503" spans="10:27" x14ac:dyDescent="0.25">
      <c r="J503" s="206"/>
      <c r="L503" s="206"/>
      <c r="O503" s="206"/>
      <c r="Q503" s="206"/>
      <c r="T503" s="206"/>
      <c r="AA503" s="202"/>
    </row>
    <row r="504" spans="10:27" x14ac:dyDescent="0.25">
      <c r="J504" s="206"/>
      <c r="L504" s="206"/>
      <c r="O504" s="206"/>
      <c r="Q504" s="206"/>
      <c r="T504" s="206"/>
      <c r="AA504" s="202"/>
    </row>
    <row r="505" spans="10:27" x14ac:dyDescent="0.25">
      <c r="J505" s="206"/>
      <c r="L505" s="206"/>
      <c r="O505" s="206"/>
      <c r="Q505" s="206"/>
      <c r="T505" s="206"/>
      <c r="AA505" s="202"/>
    </row>
    <row r="506" spans="10:27" x14ac:dyDescent="0.25">
      <c r="J506" s="206"/>
      <c r="L506" s="206"/>
      <c r="O506" s="206"/>
      <c r="Q506" s="206"/>
      <c r="T506" s="206"/>
      <c r="AA506" s="202"/>
    </row>
    <row r="507" spans="10:27" x14ac:dyDescent="0.25">
      <c r="J507" s="206"/>
      <c r="L507" s="206"/>
      <c r="O507" s="206"/>
      <c r="Q507" s="206"/>
      <c r="T507" s="206"/>
      <c r="AA507" s="202"/>
    </row>
    <row r="508" spans="10:27" x14ac:dyDescent="0.25">
      <c r="J508" s="206"/>
      <c r="L508" s="206"/>
      <c r="O508" s="206"/>
      <c r="Q508" s="206"/>
      <c r="T508" s="206"/>
      <c r="AA508" s="202"/>
    </row>
    <row r="509" spans="10:27" x14ac:dyDescent="0.25">
      <c r="J509" s="206"/>
      <c r="L509" s="206"/>
      <c r="O509" s="206"/>
      <c r="Q509" s="206"/>
      <c r="T509" s="206"/>
      <c r="AA509" s="202"/>
    </row>
    <row r="510" spans="10:27" x14ac:dyDescent="0.25">
      <c r="J510" s="206"/>
      <c r="L510" s="206"/>
      <c r="O510" s="206"/>
      <c r="Q510" s="206"/>
      <c r="T510" s="206"/>
      <c r="AA510" s="202"/>
    </row>
    <row r="511" spans="10:27" x14ac:dyDescent="0.25">
      <c r="J511" s="206"/>
      <c r="L511" s="206"/>
      <c r="O511" s="206"/>
      <c r="Q511" s="206"/>
      <c r="T511" s="206"/>
      <c r="AA511" s="202"/>
    </row>
    <row r="512" spans="10:27" x14ac:dyDescent="0.25">
      <c r="J512" s="206"/>
      <c r="L512" s="206"/>
      <c r="O512" s="206"/>
      <c r="Q512" s="206"/>
      <c r="T512" s="206"/>
      <c r="AA512" s="202"/>
    </row>
    <row r="513" spans="10:27" x14ac:dyDescent="0.25">
      <c r="J513" s="206"/>
      <c r="L513" s="206"/>
      <c r="O513" s="206"/>
      <c r="Q513" s="206"/>
      <c r="T513" s="206"/>
      <c r="AA513" s="202"/>
    </row>
    <row r="514" spans="10:27" x14ac:dyDescent="0.25">
      <c r="J514" s="206"/>
      <c r="L514" s="206"/>
      <c r="O514" s="206"/>
      <c r="Q514" s="206"/>
      <c r="T514" s="206"/>
      <c r="AA514" s="202"/>
    </row>
    <row r="515" spans="10:27" x14ac:dyDescent="0.25">
      <c r="J515" s="206"/>
      <c r="L515" s="206"/>
      <c r="O515" s="206"/>
      <c r="Q515" s="206"/>
      <c r="T515" s="206"/>
      <c r="AA515" s="202"/>
    </row>
    <row r="516" spans="10:27" x14ac:dyDescent="0.25">
      <c r="J516" s="206"/>
      <c r="L516" s="206"/>
      <c r="O516" s="206"/>
      <c r="Q516" s="206"/>
      <c r="T516" s="206"/>
      <c r="AA516" s="202"/>
    </row>
    <row r="517" spans="10:27" x14ac:dyDescent="0.25">
      <c r="J517" s="206"/>
      <c r="L517" s="206"/>
      <c r="O517" s="206"/>
      <c r="Q517" s="206"/>
      <c r="T517" s="206"/>
      <c r="AA517" s="202"/>
    </row>
    <row r="518" spans="10:27" x14ac:dyDescent="0.25">
      <c r="J518" s="206"/>
      <c r="L518" s="206"/>
      <c r="O518" s="206"/>
      <c r="Q518" s="206"/>
      <c r="T518" s="206"/>
      <c r="AA518" s="202"/>
    </row>
    <row r="519" spans="10:27" x14ac:dyDescent="0.25">
      <c r="J519" s="206"/>
      <c r="L519" s="206"/>
      <c r="O519" s="206"/>
      <c r="Q519" s="206"/>
      <c r="T519" s="206"/>
      <c r="AA519" s="202"/>
    </row>
    <row r="520" spans="10:27" x14ac:dyDescent="0.25">
      <c r="J520" s="206"/>
      <c r="L520" s="206"/>
      <c r="O520" s="206"/>
      <c r="Q520" s="206"/>
      <c r="T520" s="206"/>
      <c r="AA520" s="202"/>
    </row>
    <row r="521" spans="10:27" x14ac:dyDescent="0.25">
      <c r="J521" s="206"/>
      <c r="L521" s="206"/>
      <c r="O521" s="206"/>
      <c r="Q521" s="206"/>
      <c r="T521" s="206"/>
      <c r="AA521" s="202"/>
    </row>
    <row r="522" spans="10:27" x14ac:dyDescent="0.25">
      <c r="J522" s="206"/>
      <c r="L522" s="206"/>
      <c r="O522" s="206"/>
      <c r="Q522" s="206"/>
      <c r="T522" s="206"/>
      <c r="AA522" s="202"/>
    </row>
    <row r="523" spans="10:27" x14ac:dyDescent="0.25">
      <c r="J523" s="206"/>
      <c r="L523" s="206"/>
      <c r="O523" s="206"/>
      <c r="Q523" s="206"/>
      <c r="T523" s="206"/>
      <c r="AA523" s="202"/>
    </row>
    <row r="524" spans="10:27" x14ac:dyDescent="0.25">
      <c r="J524" s="206"/>
      <c r="L524" s="206"/>
      <c r="O524" s="206"/>
      <c r="Q524" s="206"/>
      <c r="T524" s="206"/>
      <c r="AA524" s="202"/>
    </row>
    <row r="525" spans="10:27" x14ac:dyDescent="0.25">
      <c r="J525" s="206"/>
      <c r="L525" s="206"/>
      <c r="O525" s="206"/>
      <c r="Q525" s="206"/>
      <c r="T525" s="206"/>
      <c r="AA525" s="202"/>
    </row>
    <row r="526" spans="10:27" x14ac:dyDescent="0.25">
      <c r="J526" s="206"/>
      <c r="L526" s="206"/>
      <c r="O526" s="206"/>
      <c r="Q526" s="206"/>
      <c r="T526" s="206"/>
      <c r="AA526" s="202"/>
    </row>
    <row r="527" spans="10:27" x14ac:dyDescent="0.25">
      <c r="J527" s="206"/>
      <c r="L527" s="206"/>
      <c r="O527" s="206"/>
      <c r="Q527" s="206"/>
      <c r="T527" s="206"/>
      <c r="AA527" s="202"/>
    </row>
    <row r="528" spans="10:27" x14ac:dyDescent="0.25">
      <c r="J528" s="206"/>
      <c r="L528" s="206"/>
      <c r="O528" s="206"/>
      <c r="Q528" s="206"/>
      <c r="T528" s="206"/>
      <c r="AA528" s="202"/>
    </row>
    <row r="529" spans="10:27" x14ac:dyDescent="0.25">
      <c r="J529" s="206"/>
      <c r="L529" s="206"/>
      <c r="O529" s="206"/>
      <c r="Q529" s="206"/>
      <c r="T529" s="206"/>
      <c r="AA529" s="202"/>
    </row>
    <row r="530" spans="10:27" x14ac:dyDescent="0.25">
      <c r="J530" s="206"/>
      <c r="L530" s="206"/>
      <c r="O530" s="206"/>
      <c r="Q530" s="206"/>
      <c r="T530" s="206"/>
      <c r="AA530" s="202"/>
    </row>
    <row r="531" spans="10:27" x14ac:dyDescent="0.25">
      <c r="J531" s="206"/>
      <c r="L531" s="206"/>
      <c r="O531" s="206"/>
      <c r="Q531" s="206"/>
      <c r="T531" s="206"/>
      <c r="AA531" s="202"/>
    </row>
    <row r="532" spans="10:27" x14ac:dyDescent="0.25">
      <c r="J532" s="206"/>
      <c r="L532" s="206"/>
      <c r="O532" s="206"/>
      <c r="Q532" s="206"/>
      <c r="T532" s="206"/>
      <c r="AA532" s="202"/>
    </row>
    <row r="533" spans="10:27" x14ac:dyDescent="0.25">
      <c r="J533" s="206"/>
      <c r="L533" s="206"/>
      <c r="O533" s="206"/>
      <c r="Q533" s="206"/>
      <c r="T533" s="206"/>
      <c r="AA533" s="202"/>
    </row>
    <row r="534" spans="10:27" x14ac:dyDescent="0.25">
      <c r="J534" s="206"/>
      <c r="L534" s="206"/>
      <c r="O534" s="206"/>
      <c r="Q534" s="206"/>
      <c r="T534" s="206"/>
      <c r="AA534" s="202"/>
    </row>
    <row r="535" spans="10:27" x14ac:dyDescent="0.25">
      <c r="J535" s="206"/>
      <c r="L535" s="206"/>
      <c r="O535" s="206"/>
      <c r="Q535" s="206"/>
      <c r="T535" s="206"/>
      <c r="AA535" s="202"/>
    </row>
    <row r="536" spans="10:27" x14ac:dyDescent="0.25">
      <c r="J536" s="206"/>
      <c r="L536" s="206"/>
      <c r="O536" s="206"/>
      <c r="Q536" s="206"/>
      <c r="T536" s="206"/>
      <c r="AA536" s="202"/>
    </row>
    <row r="537" spans="10:27" x14ac:dyDescent="0.25">
      <c r="J537" s="206"/>
      <c r="L537" s="206"/>
      <c r="O537" s="206"/>
      <c r="Q537" s="206"/>
      <c r="T537" s="206"/>
      <c r="AA537" s="202"/>
    </row>
    <row r="538" spans="10:27" x14ac:dyDescent="0.25">
      <c r="J538" s="206"/>
      <c r="L538" s="206"/>
      <c r="O538" s="206"/>
      <c r="Q538" s="206"/>
      <c r="T538" s="206"/>
      <c r="AA538" s="202"/>
    </row>
    <row r="539" spans="10:27" x14ac:dyDescent="0.25">
      <c r="J539" s="206"/>
      <c r="L539" s="206"/>
      <c r="O539" s="206"/>
      <c r="Q539" s="206"/>
      <c r="T539" s="206"/>
      <c r="AA539" s="202"/>
    </row>
    <row r="540" spans="10:27" x14ac:dyDescent="0.25">
      <c r="J540" s="206"/>
      <c r="L540" s="206"/>
      <c r="O540" s="206"/>
      <c r="Q540" s="206"/>
      <c r="T540" s="206"/>
      <c r="AA540" s="202"/>
    </row>
    <row r="541" spans="10:27" x14ac:dyDescent="0.25">
      <c r="J541" s="206"/>
      <c r="L541" s="206"/>
      <c r="O541" s="206"/>
      <c r="Q541" s="206"/>
      <c r="T541" s="206"/>
      <c r="AA541" s="202"/>
    </row>
    <row r="542" spans="10:27" x14ac:dyDescent="0.25">
      <c r="J542" s="206"/>
      <c r="L542" s="206"/>
      <c r="O542" s="206"/>
      <c r="Q542" s="206"/>
      <c r="T542" s="206"/>
      <c r="AA542" s="202"/>
    </row>
    <row r="543" spans="10:27" x14ac:dyDescent="0.25">
      <c r="J543" s="206"/>
      <c r="L543" s="206"/>
      <c r="O543" s="206"/>
      <c r="Q543" s="206"/>
      <c r="T543" s="206"/>
      <c r="AA543" s="202"/>
    </row>
    <row r="544" spans="10:27" x14ac:dyDescent="0.25">
      <c r="J544" s="206"/>
      <c r="L544" s="206"/>
      <c r="O544" s="206"/>
      <c r="Q544" s="206"/>
      <c r="T544" s="206"/>
      <c r="AA544" s="202"/>
    </row>
    <row r="545" spans="10:27" x14ac:dyDescent="0.25">
      <c r="J545" s="206"/>
      <c r="L545" s="206"/>
      <c r="O545" s="206"/>
      <c r="Q545" s="206"/>
      <c r="T545" s="206"/>
      <c r="AA545" s="202"/>
    </row>
    <row r="546" spans="10:27" x14ac:dyDescent="0.25">
      <c r="J546" s="206"/>
      <c r="L546" s="206"/>
      <c r="O546" s="206"/>
      <c r="Q546" s="206"/>
      <c r="T546" s="206"/>
      <c r="AA546" s="202"/>
    </row>
    <row r="547" spans="10:27" x14ac:dyDescent="0.25">
      <c r="J547" s="206"/>
      <c r="L547" s="206"/>
      <c r="O547" s="206"/>
      <c r="Q547" s="206"/>
      <c r="T547" s="206"/>
      <c r="AA547" s="202"/>
    </row>
    <row r="548" spans="10:27" x14ac:dyDescent="0.25">
      <c r="J548" s="206"/>
      <c r="L548" s="206"/>
      <c r="O548" s="206"/>
      <c r="Q548" s="206"/>
      <c r="T548" s="206"/>
      <c r="AA548" s="202"/>
    </row>
    <row r="549" spans="10:27" x14ac:dyDescent="0.25">
      <c r="J549" s="206"/>
      <c r="L549" s="206"/>
      <c r="O549" s="206"/>
      <c r="Q549" s="206"/>
      <c r="T549" s="206"/>
      <c r="AA549" s="202"/>
    </row>
    <row r="550" spans="10:27" x14ac:dyDescent="0.25">
      <c r="J550" s="206"/>
      <c r="L550" s="206"/>
      <c r="O550" s="206"/>
      <c r="Q550" s="206"/>
      <c r="T550" s="206"/>
      <c r="AA550" s="202"/>
    </row>
    <row r="551" spans="10:27" x14ac:dyDescent="0.25">
      <c r="J551" s="206"/>
      <c r="L551" s="206"/>
      <c r="O551" s="206"/>
      <c r="Q551" s="206"/>
      <c r="T551" s="206"/>
      <c r="AA551" s="202"/>
    </row>
    <row r="552" spans="10:27" x14ac:dyDescent="0.25">
      <c r="J552" s="206"/>
      <c r="L552" s="206"/>
      <c r="O552" s="206"/>
      <c r="Q552" s="206"/>
      <c r="T552" s="206"/>
      <c r="AA552" s="202"/>
    </row>
    <row r="553" spans="10:27" x14ac:dyDescent="0.25">
      <c r="J553" s="206"/>
      <c r="L553" s="206"/>
      <c r="O553" s="206"/>
      <c r="Q553" s="206"/>
      <c r="T553" s="206"/>
      <c r="AA553" s="202"/>
    </row>
    <row r="554" spans="10:27" x14ac:dyDescent="0.25">
      <c r="J554" s="206"/>
      <c r="L554" s="206"/>
      <c r="O554" s="206"/>
      <c r="Q554" s="206"/>
      <c r="T554" s="206"/>
      <c r="AA554" s="202"/>
    </row>
    <row r="555" spans="10:27" x14ac:dyDescent="0.25">
      <c r="J555" s="206"/>
      <c r="L555" s="206"/>
      <c r="O555" s="206"/>
      <c r="Q555" s="206"/>
      <c r="T555" s="206"/>
      <c r="AA555" s="202"/>
    </row>
    <row r="556" spans="10:27" x14ac:dyDescent="0.25">
      <c r="J556" s="206"/>
      <c r="L556" s="206"/>
      <c r="O556" s="206"/>
      <c r="Q556" s="206"/>
      <c r="T556" s="206"/>
      <c r="AA556" s="202"/>
    </row>
    <row r="557" spans="10:27" x14ac:dyDescent="0.25">
      <c r="J557" s="206"/>
      <c r="L557" s="206"/>
      <c r="O557" s="206"/>
      <c r="Q557" s="206"/>
      <c r="T557" s="206"/>
      <c r="AA557" s="202"/>
    </row>
    <row r="558" spans="10:27" x14ac:dyDescent="0.25">
      <c r="J558" s="206"/>
      <c r="L558" s="206"/>
      <c r="O558" s="206"/>
      <c r="Q558" s="206"/>
      <c r="T558" s="206"/>
      <c r="AA558" s="202"/>
    </row>
    <row r="559" spans="10:27" x14ac:dyDescent="0.25">
      <c r="J559" s="206"/>
      <c r="L559" s="206"/>
      <c r="O559" s="206"/>
      <c r="Q559" s="206"/>
      <c r="T559" s="206"/>
      <c r="AA559" s="202"/>
    </row>
    <row r="560" spans="10:27" x14ac:dyDescent="0.25">
      <c r="J560" s="206"/>
      <c r="L560" s="206"/>
      <c r="O560" s="206"/>
      <c r="Q560" s="206"/>
      <c r="T560" s="206"/>
      <c r="AA560" s="202"/>
    </row>
    <row r="561" spans="10:27" x14ac:dyDescent="0.25">
      <c r="J561" s="206"/>
      <c r="L561" s="206"/>
      <c r="O561" s="206"/>
      <c r="Q561" s="206"/>
      <c r="T561" s="206"/>
      <c r="AA561" s="202"/>
    </row>
    <row r="562" spans="10:27" x14ac:dyDescent="0.25">
      <c r="J562" s="206"/>
      <c r="L562" s="206"/>
      <c r="O562" s="206"/>
      <c r="Q562" s="206"/>
      <c r="T562" s="206"/>
      <c r="AA562" s="202"/>
    </row>
    <row r="563" spans="10:27" x14ac:dyDescent="0.25">
      <c r="J563" s="206"/>
      <c r="L563" s="206"/>
      <c r="O563" s="206"/>
      <c r="Q563" s="206"/>
      <c r="T563" s="206"/>
      <c r="AA563" s="202"/>
    </row>
    <row r="564" spans="10:27" x14ac:dyDescent="0.25">
      <c r="J564" s="206"/>
      <c r="L564" s="206"/>
      <c r="O564" s="206"/>
      <c r="Q564" s="206"/>
      <c r="T564" s="206"/>
      <c r="AA564" s="202"/>
    </row>
    <row r="565" spans="10:27" x14ac:dyDescent="0.25">
      <c r="J565" s="206"/>
      <c r="L565" s="206"/>
      <c r="O565" s="206"/>
      <c r="Q565" s="206"/>
      <c r="T565" s="206"/>
      <c r="AA565" s="202"/>
    </row>
    <row r="566" spans="10:27" x14ac:dyDescent="0.25">
      <c r="J566" s="206"/>
      <c r="L566" s="206"/>
      <c r="O566" s="206"/>
      <c r="Q566" s="206"/>
      <c r="T566" s="206"/>
      <c r="AA566" s="202"/>
    </row>
    <row r="567" spans="10:27" x14ac:dyDescent="0.25">
      <c r="J567" s="206"/>
      <c r="L567" s="206"/>
      <c r="O567" s="206"/>
      <c r="Q567" s="206"/>
      <c r="T567" s="206"/>
      <c r="AA567" s="202"/>
    </row>
    <row r="568" spans="10:27" x14ac:dyDescent="0.25">
      <c r="J568" s="206"/>
      <c r="L568" s="206"/>
      <c r="O568" s="206"/>
      <c r="Q568" s="206"/>
      <c r="T568" s="206"/>
      <c r="AA568" s="202"/>
    </row>
    <row r="569" spans="10:27" x14ac:dyDescent="0.25">
      <c r="J569" s="206"/>
      <c r="L569" s="206"/>
      <c r="O569" s="206"/>
      <c r="Q569" s="206"/>
      <c r="T569" s="206"/>
      <c r="AA569" s="202"/>
    </row>
    <row r="570" spans="10:27" x14ac:dyDescent="0.25">
      <c r="J570" s="206"/>
      <c r="L570" s="206"/>
      <c r="O570" s="206"/>
      <c r="Q570" s="206"/>
      <c r="T570" s="206"/>
      <c r="AA570" s="202"/>
    </row>
    <row r="571" spans="10:27" x14ac:dyDescent="0.25">
      <c r="J571" s="206"/>
      <c r="L571" s="206"/>
      <c r="O571" s="206"/>
      <c r="Q571" s="206"/>
      <c r="T571" s="206"/>
      <c r="AA571" s="202"/>
    </row>
    <row r="572" spans="10:27" x14ac:dyDescent="0.25">
      <c r="J572" s="206"/>
      <c r="L572" s="206"/>
      <c r="O572" s="206"/>
      <c r="Q572" s="206"/>
      <c r="T572" s="206"/>
      <c r="AA572" s="202"/>
    </row>
    <row r="573" spans="10:27" x14ac:dyDescent="0.25">
      <c r="J573" s="206"/>
      <c r="L573" s="206"/>
      <c r="O573" s="206"/>
      <c r="Q573" s="206"/>
      <c r="T573" s="206"/>
      <c r="AA573" s="202"/>
    </row>
    <row r="574" spans="10:27" x14ac:dyDescent="0.25">
      <c r="J574" s="206"/>
      <c r="L574" s="206"/>
      <c r="O574" s="206"/>
      <c r="Q574" s="206"/>
      <c r="T574" s="206"/>
      <c r="AA574" s="202"/>
    </row>
    <row r="575" spans="10:27" x14ac:dyDescent="0.25">
      <c r="J575" s="206"/>
      <c r="L575" s="206"/>
      <c r="O575" s="206"/>
      <c r="Q575" s="206"/>
      <c r="T575" s="206"/>
      <c r="AA575" s="202"/>
    </row>
    <row r="576" spans="10:27" x14ac:dyDescent="0.25">
      <c r="J576" s="206"/>
      <c r="L576" s="206"/>
      <c r="O576" s="206"/>
      <c r="Q576" s="206"/>
      <c r="T576" s="206"/>
      <c r="AA576" s="202"/>
    </row>
    <row r="577" spans="10:27" x14ac:dyDescent="0.25">
      <c r="J577" s="206"/>
      <c r="L577" s="206"/>
      <c r="O577" s="206"/>
      <c r="Q577" s="206"/>
      <c r="T577" s="206"/>
      <c r="AA577" s="202"/>
    </row>
    <row r="578" spans="10:27" x14ac:dyDescent="0.25">
      <c r="J578" s="206"/>
      <c r="L578" s="206"/>
      <c r="O578" s="206"/>
      <c r="Q578" s="206"/>
      <c r="T578" s="206"/>
      <c r="AA578" s="202"/>
    </row>
    <row r="579" spans="10:27" x14ac:dyDescent="0.25">
      <c r="J579" s="206"/>
      <c r="L579" s="206"/>
      <c r="O579" s="206"/>
      <c r="Q579" s="206"/>
      <c r="T579" s="206"/>
      <c r="AA579" s="202"/>
    </row>
    <row r="580" spans="10:27" x14ac:dyDescent="0.25">
      <c r="J580" s="206"/>
      <c r="L580" s="206"/>
      <c r="O580" s="206"/>
      <c r="Q580" s="206"/>
      <c r="T580" s="206"/>
      <c r="AA580" s="202"/>
    </row>
    <row r="581" spans="10:27" x14ac:dyDescent="0.25">
      <c r="J581" s="206"/>
      <c r="L581" s="206"/>
      <c r="O581" s="206"/>
      <c r="Q581" s="206"/>
      <c r="T581" s="206"/>
      <c r="AA581" s="202"/>
    </row>
    <row r="582" spans="10:27" x14ac:dyDescent="0.25">
      <c r="J582" s="206"/>
      <c r="L582" s="206"/>
      <c r="O582" s="206"/>
      <c r="Q582" s="206"/>
      <c r="T582" s="206"/>
      <c r="AA582" s="202"/>
    </row>
    <row r="583" spans="10:27" x14ac:dyDescent="0.25">
      <c r="J583" s="206"/>
      <c r="L583" s="206"/>
      <c r="O583" s="206"/>
      <c r="Q583" s="206"/>
      <c r="T583" s="206"/>
      <c r="AA583" s="202"/>
    </row>
    <row r="584" spans="10:27" x14ac:dyDescent="0.25">
      <c r="J584" s="206"/>
      <c r="L584" s="206"/>
      <c r="O584" s="206"/>
      <c r="Q584" s="206"/>
      <c r="T584" s="206"/>
      <c r="AA584" s="202"/>
    </row>
    <row r="585" spans="10:27" x14ac:dyDescent="0.25">
      <c r="J585" s="206"/>
      <c r="L585" s="206"/>
      <c r="O585" s="206"/>
      <c r="Q585" s="206"/>
      <c r="T585" s="206"/>
      <c r="AA585" s="202"/>
    </row>
    <row r="586" spans="10:27" x14ac:dyDescent="0.25">
      <c r="J586" s="206"/>
      <c r="L586" s="206"/>
      <c r="O586" s="206"/>
      <c r="Q586" s="206"/>
      <c r="T586" s="206"/>
      <c r="AA586" s="202"/>
    </row>
    <row r="587" spans="10:27" x14ac:dyDescent="0.25">
      <c r="J587" s="206"/>
      <c r="L587" s="206"/>
      <c r="O587" s="206"/>
      <c r="Q587" s="206"/>
      <c r="T587" s="206"/>
      <c r="AA587" s="202"/>
    </row>
    <row r="588" spans="10:27" x14ac:dyDescent="0.25">
      <c r="J588" s="206"/>
      <c r="L588" s="206"/>
      <c r="O588" s="206"/>
      <c r="Q588" s="206"/>
      <c r="T588" s="206"/>
      <c r="AA588" s="202"/>
    </row>
    <row r="589" spans="10:27" x14ac:dyDescent="0.25">
      <c r="J589" s="206"/>
      <c r="L589" s="206"/>
      <c r="O589" s="206"/>
      <c r="Q589" s="206"/>
      <c r="T589" s="206"/>
      <c r="AA589" s="202"/>
    </row>
    <row r="590" spans="10:27" x14ac:dyDescent="0.25">
      <c r="J590" s="206"/>
      <c r="L590" s="206"/>
      <c r="O590" s="206"/>
      <c r="Q590" s="206"/>
      <c r="T590" s="206"/>
      <c r="AA590" s="202"/>
    </row>
    <row r="591" spans="10:27" x14ac:dyDescent="0.25">
      <c r="J591" s="206"/>
      <c r="L591" s="206"/>
      <c r="O591" s="206"/>
      <c r="Q591" s="206"/>
      <c r="T591" s="206"/>
      <c r="AA591" s="202"/>
    </row>
    <row r="592" spans="10:27" x14ac:dyDescent="0.25">
      <c r="J592" s="206"/>
      <c r="L592" s="206"/>
      <c r="O592" s="206"/>
      <c r="Q592" s="206"/>
      <c r="T592" s="206"/>
      <c r="AA592" s="202"/>
    </row>
    <row r="593" spans="10:27" x14ac:dyDescent="0.25">
      <c r="J593" s="206"/>
      <c r="L593" s="206"/>
      <c r="O593" s="206"/>
      <c r="Q593" s="206"/>
      <c r="T593" s="206"/>
      <c r="AA593" s="202"/>
    </row>
    <row r="594" spans="10:27" x14ac:dyDescent="0.25">
      <c r="J594" s="206"/>
      <c r="L594" s="206"/>
      <c r="O594" s="206"/>
      <c r="Q594" s="206"/>
      <c r="T594" s="206"/>
      <c r="AA594" s="202"/>
    </row>
    <row r="595" spans="10:27" x14ac:dyDescent="0.25">
      <c r="J595" s="206"/>
      <c r="L595" s="206"/>
      <c r="O595" s="206"/>
      <c r="Q595" s="206"/>
      <c r="T595" s="206"/>
      <c r="AA595" s="202"/>
    </row>
    <row r="596" spans="10:27" x14ac:dyDescent="0.25">
      <c r="J596" s="206"/>
      <c r="L596" s="206"/>
      <c r="O596" s="206"/>
      <c r="Q596" s="206"/>
      <c r="T596" s="206"/>
      <c r="AA596" s="202"/>
    </row>
    <row r="597" spans="10:27" x14ac:dyDescent="0.25">
      <c r="J597" s="206"/>
      <c r="L597" s="206"/>
      <c r="O597" s="206"/>
      <c r="Q597" s="206"/>
      <c r="T597" s="206"/>
      <c r="AA597" s="202"/>
    </row>
    <row r="598" spans="10:27" x14ac:dyDescent="0.25">
      <c r="J598" s="206"/>
      <c r="L598" s="206"/>
      <c r="O598" s="206"/>
      <c r="Q598" s="206"/>
      <c r="T598" s="206"/>
      <c r="AA598" s="202"/>
    </row>
    <row r="599" spans="10:27" x14ac:dyDescent="0.25">
      <c r="J599" s="206"/>
      <c r="L599" s="206"/>
      <c r="O599" s="206"/>
      <c r="Q599" s="206"/>
      <c r="T599" s="206"/>
      <c r="AA599" s="202"/>
    </row>
    <row r="600" spans="10:27" x14ac:dyDescent="0.25">
      <c r="J600" s="206"/>
      <c r="L600" s="206"/>
      <c r="O600" s="206"/>
      <c r="Q600" s="206"/>
      <c r="T600" s="206"/>
      <c r="AA600" s="202"/>
    </row>
    <row r="601" spans="10:27" x14ac:dyDescent="0.25">
      <c r="J601" s="206"/>
      <c r="L601" s="206"/>
      <c r="O601" s="206"/>
      <c r="Q601" s="206"/>
      <c r="T601" s="206"/>
      <c r="AA601" s="202"/>
    </row>
    <row r="602" spans="10:27" x14ac:dyDescent="0.25">
      <c r="J602" s="206"/>
      <c r="L602" s="206"/>
      <c r="O602" s="206"/>
      <c r="Q602" s="206"/>
      <c r="T602" s="206"/>
      <c r="AA602" s="202"/>
    </row>
    <row r="603" spans="10:27" x14ac:dyDescent="0.25">
      <c r="J603" s="206"/>
      <c r="L603" s="206"/>
      <c r="O603" s="206"/>
      <c r="Q603" s="206"/>
      <c r="T603" s="206"/>
      <c r="AA603" s="202"/>
    </row>
    <row r="604" spans="10:27" x14ac:dyDescent="0.25">
      <c r="J604" s="206"/>
      <c r="L604" s="206"/>
      <c r="O604" s="206"/>
      <c r="Q604" s="206"/>
      <c r="T604" s="206"/>
      <c r="AA604" s="202"/>
    </row>
    <row r="605" spans="10:27" x14ac:dyDescent="0.25">
      <c r="J605" s="206"/>
      <c r="L605" s="206"/>
      <c r="O605" s="206"/>
      <c r="Q605" s="206"/>
      <c r="T605" s="206"/>
      <c r="AA605" s="202"/>
    </row>
    <row r="606" spans="10:27" x14ac:dyDescent="0.25">
      <c r="J606" s="206"/>
      <c r="L606" s="206"/>
      <c r="O606" s="206"/>
      <c r="Q606" s="206"/>
      <c r="T606" s="206"/>
      <c r="AA606" s="202"/>
    </row>
    <row r="607" spans="10:27" x14ac:dyDescent="0.25">
      <c r="J607" s="206"/>
      <c r="L607" s="206"/>
      <c r="O607" s="206"/>
      <c r="Q607" s="206"/>
      <c r="T607" s="206"/>
      <c r="AA607" s="202"/>
    </row>
    <row r="608" spans="10:27" x14ac:dyDescent="0.25">
      <c r="J608" s="206"/>
      <c r="L608" s="206"/>
      <c r="O608" s="206"/>
      <c r="Q608" s="206"/>
      <c r="T608" s="206"/>
      <c r="AA608" s="202"/>
    </row>
    <row r="609" spans="10:27" x14ac:dyDescent="0.25">
      <c r="J609" s="206"/>
      <c r="L609" s="206"/>
      <c r="O609" s="206"/>
      <c r="Q609" s="206"/>
      <c r="T609" s="206"/>
      <c r="AA609" s="202"/>
    </row>
    <row r="610" spans="10:27" x14ac:dyDescent="0.25">
      <c r="J610" s="206"/>
      <c r="L610" s="206"/>
      <c r="O610" s="206"/>
      <c r="Q610" s="206"/>
      <c r="T610" s="206"/>
      <c r="AA610" s="202"/>
    </row>
    <row r="611" spans="10:27" x14ac:dyDescent="0.25">
      <c r="J611" s="206"/>
      <c r="L611" s="206"/>
      <c r="O611" s="206"/>
      <c r="Q611" s="206"/>
      <c r="T611" s="206"/>
      <c r="AA611" s="202"/>
    </row>
    <row r="612" spans="10:27" x14ac:dyDescent="0.25">
      <c r="J612" s="206"/>
      <c r="L612" s="206"/>
      <c r="O612" s="206"/>
      <c r="Q612" s="206"/>
      <c r="T612" s="206"/>
      <c r="AA612" s="202"/>
    </row>
    <row r="613" spans="10:27" x14ac:dyDescent="0.25">
      <c r="J613" s="206"/>
      <c r="L613" s="206"/>
      <c r="O613" s="206"/>
      <c r="Q613" s="206"/>
      <c r="T613" s="206"/>
      <c r="AA613" s="202"/>
    </row>
    <row r="614" spans="10:27" x14ac:dyDescent="0.25">
      <c r="J614" s="206"/>
      <c r="L614" s="206"/>
      <c r="O614" s="206"/>
      <c r="Q614" s="206"/>
      <c r="T614" s="206"/>
      <c r="AA614" s="202"/>
    </row>
    <row r="615" spans="10:27" x14ac:dyDescent="0.25">
      <c r="J615" s="206"/>
      <c r="L615" s="206"/>
      <c r="O615" s="206"/>
      <c r="Q615" s="206"/>
      <c r="T615" s="206"/>
      <c r="AA615" s="202"/>
    </row>
    <row r="616" spans="10:27" x14ac:dyDescent="0.25">
      <c r="J616" s="206"/>
      <c r="L616" s="206"/>
      <c r="O616" s="206"/>
      <c r="Q616" s="206"/>
      <c r="T616" s="206"/>
      <c r="AA616" s="202"/>
    </row>
    <row r="617" spans="10:27" x14ac:dyDescent="0.25">
      <c r="J617" s="206"/>
      <c r="L617" s="206"/>
      <c r="O617" s="206"/>
      <c r="Q617" s="206"/>
      <c r="T617" s="206"/>
      <c r="AA617" s="202"/>
    </row>
    <row r="618" spans="10:27" x14ac:dyDescent="0.25">
      <c r="J618" s="206"/>
      <c r="L618" s="206"/>
      <c r="O618" s="206"/>
      <c r="Q618" s="206"/>
      <c r="T618" s="206"/>
      <c r="AA618" s="202"/>
    </row>
    <row r="619" spans="10:27" x14ac:dyDescent="0.25">
      <c r="J619" s="206"/>
      <c r="L619" s="206"/>
      <c r="O619" s="206"/>
      <c r="Q619" s="206"/>
      <c r="T619" s="206"/>
      <c r="AA619" s="202"/>
    </row>
    <row r="620" spans="10:27" x14ac:dyDescent="0.25">
      <c r="J620" s="206"/>
      <c r="L620" s="206"/>
      <c r="O620" s="206"/>
      <c r="Q620" s="206"/>
      <c r="T620" s="206"/>
      <c r="AA620" s="202"/>
    </row>
    <row r="621" spans="10:27" x14ac:dyDescent="0.25">
      <c r="J621" s="206"/>
      <c r="L621" s="206"/>
      <c r="O621" s="206"/>
      <c r="Q621" s="206"/>
      <c r="T621" s="206"/>
      <c r="AA621" s="202"/>
    </row>
    <row r="622" spans="10:27" x14ac:dyDescent="0.25">
      <c r="J622" s="206"/>
      <c r="L622" s="206"/>
      <c r="O622" s="206"/>
      <c r="Q622" s="206"/>
      <c r="T622" s="206"/>
      <c r="AA622" s="202"/>
    </row>
    <row r="623" spans="10:27" x14ac:dyDescent="0.25">
      <c r="J623" s="206"/>
      <c r="L623" s="206"/>
      <c r="O623" s="206"/>
      <c r="Q623" s="206"/>
      <c r="T623" s="206"/>
      <c r="AA623" s="202"/>
    </row>
    <row r="624" spans="10:27" x14ac:dyDescent="0.25">
      <c r="J624" s="206"/>
      <c r="L624" s="206"/>
      <c r="O624" s="206"/>
      <c r="Q624" s="206"/>
      <c r="T624" s="206"/>
      <c r="AA624" s="202"/>
    </row>
    <row r="625" spans="10:27" x14ac:dyDescent="0.25">
      <c r="J625" s="206"/>
      <c r="L625" s="206"/>
      <c r="O625" s="206"/>
      <c r="Q625" s="206"/>
      <c r="T625" s="206"/>
      <c r="AA625" s="202"/>
    </row>
    <row r="626" spans="10:27" x14ac:dyDescent="0.25">
      <c r="J626" s="206"/>
      <c r="L626" s="206"/>
      <c r="O626" s="206"/>
      <c r="Q626" s="206"/>
      <c r="T626" s="206"/>
      <c r="AA626" s="202"/>
    </row>
    <row r="627" spans="10:27" x14ac:dyDescent="0.25">
      <c r="J627" s="206"/>
      <c r="L627" s="206"/>
      <c r="O627" s="206"/>
      <c r="Q627" s="206"/>
      <c r="T627" s="206"/>
      <c r="AA627" s="202"/>
    </row>
    <row r="628" spans="10:27" x14ac:dyDescent="0.25">
      <c r="J628" s="206"/>
      <c r="L628" s="206"/>
      <c r="O628" s="206"/>
      <c r="Q628" s="206"/>
      <c r="T628" s="206"/>
      <c r="AA628" s="202"/>
    </row>
    <row r="629" spans="10:27" x14ac:dyDescent="0.25">
      <c r="J629" s="206"/>
      <c r="L629" s="206"/>
      <c r="O629" s="206"/>
      <c r="Q629" s="206"/>
      <c r="T629" s="206"/>
      <c r="AA629" s="202"/>
    </row>
    <row r="630" spans="10:27" x14ac:dyDescent="0.25">
      <c r="J630" s="206"/>
      <c r="L630" s="206"/>
      <c r="O630" s="206"/>
      <c r="Q630" s="206"/>
      <c r="T630" s="206"/>
      <c r="AA630" s="202"/>
    </row>
    <row r="631" spans="10:27" x14ac:dyDescent="0.25">
      <c r="J631" s="206"/>
      <c r="L631" s="206"/>
      <c r="O631" s="206"/>
      <c r="Q631" s="206"/>
      <c r="T631" s="206"/>
      <c r="AA631" s="202"/>
    </row>
    <row r="632" spans="10:27" x14ac:dyDescent="0.25">
      <c r="J632" s="206"/>
      <c r="L632" s="206"/>
      <c r="O632" s="206"/>
      <c r="Q632" s="206"/>
      <c r="T632" s="206"/>
      <c r="AA632" s="202"/>
    </row>
    <row r="633" spans="10:27" x14ac:dyDescent="0.25">
      <c r="J633" s="206"/>
      <c r="L633" s="206"/>
      <c r="O633" s="206"/>
      <c r="Q633" s="206"/>
      <c r="T633" s="206"/>
      <c r="AA633" s="202"/>
    </row>
    <row r="634" spans="10:27" x14ac:dyDescent="0.25">
      <c r="J634" s="206"/>
      <c r="L634" s="206"/>
      <c r="O634" s="206"/>
      <c r="Q634" s="206"/>
      <c r="T634" s="206"/>
      <c r="AA634" s="202"/>
    </row>
    <row r="635" spans="10:27" x14ac:dyDescent="0.25">
      <c r="J635" s="206"/>
      <c r="L635" s="206"/>
      <c r="O635" s="206"/>
      <c r="Q635" s="206"/>
      <c r="T635" s="206"/>
      <c r="AA635" s="202"/>
    </row>
    <row r="636" spans="10:27" x14ac:dyDescent="0.25">
      <c r="J636" s="206"/>
      <c r="L636" s="206"/>
      <c r="O636" s="206"/>
      <c r="Q636" s="206"/>
      <c r="T636" s="206"/>
      <c r="AA636" s="202"/>
    </row>
    <row r="637" spans="10:27" x14ac:dyDescent="0.25">
      <c r="J637" s="206"/>
      <c r="L637" s="206"/>
      <c r="O637" s="206"/>
      <c r="Q637" s="206"/>
      <c r="T637" s="206"/>
      <c r="AA637" s="202"/>
    </row>
    <row r="638" spans="10:27" x14ac:dyDescent="0.25">
      <c r="J638" s="206"/>
      <c r="L638" s="206"/>
      <c r="O638" s="206"/>
      <c r="Q638" s="206"/>
      <c r="T638" s="206"/>
      <c r="AA638" s="202"/>
    </row>
    <row r="639" spans="10:27" x14ac:dyDescent="0.25">
      <c r="J639" s="206"/>
      <c r="L639" s="206"/>
      <c r="O639" s="206"/>
      <c r="Q639" s="206"/>
      <c r="T639" s="206"/>
      <c r="AA639" s="202"/>
    </row>
    <row r="640" spans="10:27" x14ac:dyDescent="0.25">
      <c r="J640" s="206"/>
      <c r="L640" s="206"/>
      <c r="O640" s="206"/>
      <c r="Q640" s="206"/>
      <c r="T640" s="206"/>
      <c r="AA640" s="202"/>
    </row>
    <row r="641" spans="10:27" x14ac:dyDescent="0.25">
      <c r="J641" s="206"/>
      <c r="L641" s="206"/>
      <c r="O641" s="206"/>
      <c r="Q641" s="206"/>
      <c r="T641" s="206"/>
      <c r="AA641" s="202"/>
    </row>
    <row r="642" spans="10:27" x14ac:dyDescent="0.25">
      <c r="J642" s="206"/>
      <c r="L642" s="206"/>
      <c r="O642" s="206"/>
      <c r="Q642" s="206"/>
      <c r="T642" s="206"/>
      <c r="AA642" s="202"/>
    </row>
    <row r="643" spans="10:27" x14ac:dyDescent="0.25">
      <c r="J643" s="206"/>
      <c r="L643" s="206"/>
      <c r="O643" s="206"/>
      <c r="Q643" s="206"/>
      <c r="T643" s="206"/>
      <c r="AA643" s="202"/>
    </row>
    <row r="644" spans="10:27" x14ac:dyDescent="0.25">
      <c r="J644" s="206"/>
      <c r="L644" s="206"/>
      <c r="O644" s="206"/>
      <c r="Q644" s="206"/>
      <c r="T644" s="206"/>
      <c r="AA644" s="202"/>
    </row>
    <row r="645" spans="10:27" x14ac:dyDescent="0.25">
      <c r="J645" s="206"/>
      <c r="L645" s="206"/>
      <c r="O645" s="206"/>
      <c r="Q645" s="206"/>
      <c r="T645" s="206"/>
      <c r="AA645" s="202"/>
    </row>
    <row r="646" spans="10:27" x14ac:dyDescent="0.25">
      <c r="J646" s="206"/>
      <c r="L646" s="206"/>
      <c r="O646" s="206"/>
      <c r="Q646" s="206"/>
      <c r="T646" s="206"/>
      <c r="AA646" s="202"/>
    </row>
    <row r="647" spans="10:27" x14ac:dyDescent="0.25">
      <c r="J647" s="206"/>
      <c r="L647" s="206"/>
      <c r="O647" s="206"/>
      <c r="Q647" s="206"/>
      <c r="T647" s="206"/>
      <c r="AA647" s="202"/>
    </row>
    <row r="648" spans="10:27" x14ac:dyDescent="0.25">
      <c r="J648" s="206"/>
      <c r="L648" s="206"/>
      <c r="O648" s="206"/>
      <c r="Q648" s="206"/>
      <c r="T648" s="206"/>
      <c r="AA648" s="202"/>
    </row>
    <row r="649" spans="10:27" x14ac:dyDescent="0.25">
      <c r="J649" s="206"/>
      <c r="L649" s="206"/>
      <c r="O649" s="206"/>
      <c r="Q649" s="206"/>
      <c r="T649" s="206"/>
      <c r="AA649" s="202"/>
    </row>
    <row r="650" spans="10:27" x14ac:dyDescent="0.25">
      <c r="J650" s="206"/>
      <c r="L650" s="206"/>
      <c r="O650" s="206"/>
      <c r="Q650" s="206"/>
      <c r="T650" s="206"/>
      <c r="AA650" s="202"/>
    </row>
    <row r="651" spans="10:27" x14ac:dyDescent="0.25">
      <c r="J651" s="206"/>
      <c r="L651" s="206"/>
      <c r="O651" s="206"/>
      <c r="Q651" s="206"/>
      <c r="T651" s="206"/>
      <c r="AA651" s="202"/>
    </row>
    <row r="652" spans="10:27" x14ac:dyDescent="0.25">
      <c r="J652" s="206"/>
      <c r="L652" s="206"/>
      <c r="O652" s="206"/>
      <c r="Q652" s="206"/>
      <c r="T652" s="206"/>
      <c r="AA652" s="202"/>
    </row>
    <row r="653" spans="10:27" x14ac:dyDescent="0.25">
      <c r="J653" s="206"/>
      <c r="L653" s="206"/>
      <c r="O653" s="206"/>
      <c r="Q653" s="206"/>
      <c r="T653" s="206"/>
      <c r="AA653" s="202"/>
    </row>
    <row r="654" spans="10:27" x14ac:dyDescent="0.25">
      <c r="J654" s="206"/>
      <c r="L654" s="206"/>
      <c r="O654" s="206"/>
      <c r="Q654" s="206"/>
      <c r="T654" s="206"/>
      <c r="AA654" s="202"/>
    </row>
    <row r="655" spans="10:27" x14ac:dyDescent="0.25">
      <c r="J655" s="206"/>
      <c r="L655" s="206"/>
      <c r="O655" s="206"/>
      <c r="Q655" s="206"/>
      <c r="T655" s="206"/>
      <c r="AA655" s="202"/>
    </row>
    <row r="656" spans="10:27" x14ac:dyDescent="0.25">
      <c r="J656" s="206"/>
      <c r="L656" s="206"/>
      <c r="O656" s="206"/>
      <c r="Q656" s="206"/>
      <c r="T656" s="206"/>
      <c r="AA656" s="202"/>
    </row>
    <row r="657" spans="10:27" x14ac:dyDescent="0.25">
      <c r="J657" s="206"/>
      <c r="L657" s="206"/>
      <c r="O657" s="206"/>
      <c r="Q657" s="206"/>
      <c r="T657" s="206"/>
      <c r="AA657" s="202"/>
    </row>
    <row r="658" spans="10:27" x14ac:dyDescent="0.25">
      <c r="J658" s="206"/>
      <c r="L658" s="206"/>
      <c r="O658" s="206"/>
      <c r="Q658" s="206"/>
      <c r="T658" s="206"/>
      <c r="AA658" s="202"/>
    </row>
    <row r="659" spans="10:27" x14ac:dyDescent="0.25">
      <c r="J659" s="206"/>
      <c r="L659" s="206"/>
      <c r="O659" s="206"/>
      <c r="Q659" s="206"/>
      <c r="T659" s="206"/>
      <c r="AA659" s="202"/>
    </row>
    <row r="660" spans="10:27" x14ac:dyDescent="0.25">
      <c r="J660" s="206"/>
      <c r="L660" s="206"/>
      <c r="O660" s="206"/>
      <c r="Q660" s="206"/>
      <c r="T660" s="206"/>
      <c r="AA660" s="202"/>
    </row>
    <row r="661" spans="10:27" x14ac:dyDescent="0.25">
      <c r="J661" s="206"/>
      <c r="L661" s="206"/>
      <c r="O661" s="206"/>
      <c r="Q661" s="206"/>
      <c r="T661" s="206"/>
      <c r="AA661" s="202"/>
    </row>
    <row r="662" spans="10:27" x14ac:dyDescent="0.25">
      <c r="J662" s="206"/>
      <c r="L662" s="206"/>
      <c r="O662" s="206"/>
      <c r="Q662" s="206"/>
      <c r="T662" s="206"/>
      <c r="AA662" s="202"/>
    </row>
    <row r="663" spans="10:27" x14ac:dyDescent="0.25">
      <c r="J663" s="206"/>
      <c r="L663" s="206"/>
      <c r="O663" s="206"/>
      <c r="Q663" s="206"/>
      <c r="T663" s="206"/>
      <c r="AA663" s="202"/>
    </row>
    <row r="664" spans="10:27" x14ac:dyDescent="0.25">
      <c r="J664" s="206"/>
      <c r="L664" s="206"/>
      <c r="O664" s="206"/>
      <c r="Q664" s="206"/>
      <c r="T664" s="206"/>
      <c r="AA664" s="202"/>
    </row>
    <row r="665" spans="10:27" x14ac:dyDescent="0.25">
      <c r="J665" s="206"/>
      <c r="L665" s="206"/>
      <c r="O665" s="206"/>
      <c r="Q665" s="206"/>
      <c r="T665" s="206"/>
      <c r="AA665" s="202"/>
    </row>
    <row r="666" spans="10:27" x14ac:dyDescent="0.25">
      <c r="J666" s="206"/>
      <c r="L666" s="206"/>
      <c r="O666" s="206"/>
      <c r="Q666" s="206"/>
      <c r="T666" s="206"/>
      <c r="AA666" s="202"/>
    </row>
    <row r="667" spans="10:27" x14ac:dyDescent="0.25">
      <c r="J667" s="206"/>
      <c r="L667" s="206"/>
      <c r="O667" s="206"/>
      <c r="Q667" s="206"/>
      <c r="T667" s="206"/>
      <c r="AA667" s="202"/>
    </row>
    <row r="668" spans="10:27" x14ac:dyDescent="0.25">
      <c r="J668" s="206"/>
      <c r="L668" s="206"/>
      <c r="O668" s="206"/>
      <c r="Q668" s="206"/>
      <c r="T668" s="206"/>
      <c r="AA668" s="202"/>
    </row>
    <row r="669" spans="10:27" x14ac:dyDescent="0.25">
      <c r="J669" s="206"/>
      <c r="L669" s="206"/>
      <c r="O669" s="206"/>
      <c r="Q669" s="206"/>
      <c r="T669" s="206"/>
      <c r="AA669" s="202"/>
    </row>
    <row r="670" spans="10:27" x14ac:dyDescent="0.25">
      <c r="J670" s="206"/>
      <c r="L670" s="206"/>
      <c r="O670" s="206"/>
      <c r="Q670" s="206"/>
      <c r="T670" s="206"/>
      <c r="AA670" s="202"/>
    </row>
    <row r="671" spans="10:27" x14ac:dyDescent="0.25">
      <c r="J671" s="206"/>
      <c r="L671" s="206"/>
      <c r="O671" s="206"/>
      <c r="Q671" s="206"/>
      <c r="T671" s="206"/>
      <c r="AA671" s="202"/>
    </row>
    <row r="672" spans="10:27" x14ac:dyDescent="0.25">
      <c r="J672" s="206"/>
      <c r="L672" s="206"/>
      <c r="O672" s="206"/>
      <c r="Q672" s="206"/>
      <c r="T672" s="206"/>
      <c r="AA672" s="202"/>
    </row>
    <row r="673" spans="10:27" x14ac:dyDescent="0.25">
      <c r="J673" s="206"/>
      <c r="L673" s="206"/>
      <c r="O673" s="206"/>
      <c r="Q673" s="206"/>
      <c r="T673" s="206"/>
      <c r="AA673" s="202"/>
    </row>
    <row r="674" spans="10:27" x14ac:dyDescent="0.25">
      <c r="J674" s="206"/>
      <c r="L674" s="206"/>
      <c r="O674" s="206"/>
      <c r="Q674" s="206"/>
      <c r="T674" s="206"/>
      <c r="AA674" s="202"/>
    </row>
    <row r="675" spans="10:27" x14ac:dyDescent="0.25">
      <c r="J675" s="206"/>
      <c r="L675" s="206"/>
      <c r="O675" s="206"/>
      <c r="Q675" s="206"/>
      <c r="T675" s="206"/>
      <c r="AA675" s="202"/>
    </row>
    <row r="676" spans="10:27" x14ac:dyDescent="0.25">
      <c r="J676" s="206"/>
      <c r="L676" s="206"/>
      <c r="O676" s="206"/>
      <c r="Q676" s="206"/>
      <c r="T676" s="206"/>
      <c r="AA676" s="202"/>
    </row>
    <row r="677" spans="10:27" x14ac:dyDescent="0.25">
      <c r="J677" s="206"/>
      <c r="L677" s="206"/>
      <c r="O677" s="206"/>
      <c r="Q677" s="206"/>
      <c r="T677" s="206"/>
      <c r="AA677" s="202"/>
    </row>
    <row r="678" spans="10:27" x14ac:dyDescent="0.25">
      <c r="J678" s="206"/>
      <c r="L678" s="206"/>
      <c r="O678" s="206"/>
      <c r="Q678" s="206"/>
      <c r="T678" s="206"/>
      <c r="AA678" s="202"/>
    </row>
    <row r="679" spans="10:27" x14ac:dyDescent="0.25">
      <c r="J679" s="206"/>
      <c r="L679" s="206"/>
      <c r="O679" s="206"/>
      <c r="Q679" s="206"/>
      <c r="T679" s="206"/>
      <c r="AA679" s="202"/>
    </row>
    <row r="680" spans="10:27" x14ac:dyDescent="0.25">
      <c r="J680" s="206"/>
      <c r="L680" s="206"/>
      <c r="O680" s="206"/>
      <c r="Q680" s="206"/>
      <c r="T680" s="206"/>
      <c r="AA680" s="202"/>
    </row>
    <row r="681" spans="10:27" x14ac:dyDescent="0.25">
      <c r="J681" s="206"/>
      <c r="L681" s="206"/>
      <c r="O681" s="206"/>
      <c r="Q681" s="206"/>
      <c r="T681" s="206"/>
      <c r="AA681" s="202"/>
    </row>
    <row r="682" spans="10:27" x14ac:dyDescent="0.25">
      <c r="J682" s="206"/>
      <c r="L682" s="206"/>
      <c r="O682" s="206"/>
      <c r="Q682" s="206"/>
      <c r="T682" s="206"/>
      <c r="AA682" s="202"/>
    </row>
    <row r="683" spans="10:27" x14ac:dyDescent="0.25">
      <c r="J683" s="206"/>
      <c r="L683" s="206"/>
      <c r="O683" s="206"/>
      <c r="Q683" s="206"/>
      <c r="T683" s="206"/>
      <c r="AA683" s="202"/>
    </row>
    <row r="684" spans="10:27" x14ac:dyDescent="0.25">
      <c r="J684" s="206"/>
      <c r="L684" s="206"/>
      <c r="O684" s="206"/>
      <c r="Q684" s="206"/>
      <c r="T684" s="206"/>
      <c r="AA684" s="202"/>
    </row>
    <row r="685" spans="10:27" x14ac:dyDescent="0.25">
      <c r="J685" s="206"/>
      <c r="L685" s="206"/>
      <c r="O685" s="206"/>
      <c r="Q685" s="206"/>
      <c r="T685" s="206"/>
      <c r="AA685" s="202"/>
    </row>
    <row r="686" spans="10:27" x14ac:dyDescent="0.25">
      <c r="J686" s="206"/>
      <c r="L686" s="206"/>
      <c r="O686" s="206"/>
      <c r="Q686" s="206"/>
      <c r="T686" s="206"/>
      <c r="AA686" s="202"/>
    </row>
    <row r="687" spans="10:27" x14ac:dyDescent="0.25">
      <c r="J687" s="206"/>
      <c r="L687" s="206"/>
      <c r="O687" s="206"/>
      <c r="Q687" s="206"/>
      <c r="T687" s="206"/>
      <c r="AA687" s="202"/>
    </row>
    <row r="688" spans="10:27" x14ac:dyDescent="0.25">
      <c r="J688" s="206"/>
      <c r="L688" s="206"/>
      <c r="O688" s="206"/>
      <c r="Q688" s="206"/>
      <c r="T688" s="206"/>
      <c r="AA688" s="202"/>
    </row>
    <row r="689" spans="10:27" x14ac:dyDescent="0.25">
      <c r="J689" s="206"/>
      <c r="L689" s="206"/>
      <c r="O689" s="206"/>
      <c r="Q689" s="206"/>
      <c r="T689" s="206"/>
      <c r="AA689" s="202"/>
    </row>
    <row r="690" spans="10:27" x14ac:dyDescent="0.25">
      <c r="J690" s="206"/>
      <c r="L690" s="206"/>
      <c r="O690" s="206"/>
      <c r="Q690" s="206"/>
      <c r="T690" s="206"/>
      <c r="AA690" s="202"/>
    </row>
    <row r="691" spans="10:27" x14ac:dyDescent="0.25">
      <c r="J691" s="206"/>
      <c r="L691" s="206"/>
      <c r="O691" s="206"/>
      <c r="Q691" s="206"/>
      <c r="T691" s="206"/>
      <c r="AA691" s="202"/>
    </row>
    <row r="692" spans="10:27" x14ac:dyDescent="0.25">
      <c r="J692" s="206"/>
      <c r="L692" s="206"/>
      <c r="O692" s="206"/>
      <c r="Q692" s="206"/>
      <c r="T692" s="206"/>
      <c r="AA692" s="202"/>
    </row>
    <row r="693" spans="10:27" x14ac:dyDescent="0.25">
      <c r="J693" s="206"/>
      <c r="L693" s="206"/>
      <c r="O693" s="206"/>
      <c r="Q693" s="206"/>
      <c r="T693" s="206"/>
      <c r="AA693" s="202"/>
    </row>
    <row r="694" spans="10:27" x14ac:dyDescent="0.25">
      <c r="J694" s="206"/>
      <c r="L694" s="206"/>
      <c r="O694" s="206"/>
      <c r="Q694" s="206"/>
      <c r="T694" s="206"/>
      <c r="AA694" s="202"/>
    </row>
    <row r="695" spans="10:27" x14ac:dyDescent="0.25">
      <c r="J695" s="206"/>
      <c r="L695" s="206"/>
      <c r="O695" s="206"/>
      <c r="Q695" s="206"/>
      <c r="T695" s="206"/>
      <c r="AA695" s="202"/>
    </row>
    <row r="696" spans="10:27" x14ac:dyDescent="0.25">
      <c r="J696" s="206"/>
      <c r="L696" s="206"/>
      <c r="O696" s="206"/>
      <c r="Q696" s="206"/>
      <c r="T696" s="206"/>
      <c r="AA696" s="202"/>
    </row>
    <row r="697" spans="10:27" x14ac:dyDescent="0.25">
      <c r="J697" s="206"/>
      <c r="L697" s="206"/>
      <c r="O697" s="206"/>
      <c r="Q697" s="206"/>
      <c r="T697" s="206"/>
      <c r="AA697" s="202"/>
    </row>
    <row r="698" spans="10:27" x14ac:dyDescent="0.25">
      <c r="J698" s="206"/>
      <c r="L698" s="206"/>
      <c r="O698" s="206"/>
      <c r="Q698" s="206"/>
      <c r="T698" s="206"/>
      <c r="AA698" s="202"/>
    </row>
    <row r="699" spans="10:27" x14ac:dyDescent="0.25">
      <c r="J699" s="206"/>
      <c r="L699" s="206"/>
      <c r="O699" s="206"/>
      <c r="Q699" s="206"/>
      <c r="T699" s="206"/>
      <c r="AA699" s="202"/>
    </row>
    <row r="700" spans="10:27" x14ac:dyDescent="0.25">
      <c r="J700" s="206"/>
      <c r="L700" s="206"/>
      <c r="O700" s="206"/>
      <c r="Q700" s="206"/>
      <c r="T700" s="206"/>
      <c r="AA700" s="202"/>
    </row>
    <row r="701" spans="10:27" x14ac:dyDescent="0.25">
      <c r="J701" s="206"/>
      <c r="L701" s="206"/>
      <c r="O701" s="206"/>
      <c r="Q701" s="206"/>
      <c r="T701" s="206"/>
      <c r="AA701" s="202"/>
    </row>
    <row r="702" spans="10:27" x14ac:dyDescent="0.25">
      <c r="J702" s="206"/>
      <c r="L702" s="206"/>
      <c r="O702" s="206"/>
      <c r="Q702" s="206"/>
      <c r="T702" s="206"/>
      <c r="AA702" s="202"/>
    </row>
    <row r="703" spans="10:27" x14ac:dyDescent="0.25">
      <c r="J703" s="206"/>
      <c r="L703" s="206"/>
      <c r="O703" s="206"/>
      <c r="Q703" s="206"/>
      <c r="T703" s="206"/>
      <c r="AA703" s="202"/>
    </row>
    <row r="704" spans="10:27" x14ac:dyDescent="0.25">
      <c r="J704" s="206"/>
      <c r="L704" s="206"/>
      <c r="O704" s="206"/>
      <c r="Q704" s="206"/>
      <c r="T704" s="206"/>
      <c r="AA704" s="202"/>
    </row>
    <row r="705" spans="10:27" x14ac:dyDescent="0.25">
      <c r="J705" s="206"/>
      <c r="L705" s="206"/>
      <c r="O705" s="206"/>
      <c r="Q705" s="206"/>
      <c r="T705" s="206"/>
      <c r="AA705" s="202"/>
    </row>
    <row r="706" spans="10:27" x14ac:dyDescent="0.25">
      <c r="J706" s="206"/>
      <c r="L706" s="206"/>
      <c r="O706" s="206"/>
      <c r="Q706" s="206"/>
      <c r="T706" s="206"/>
      <c r="AA706" s="202"/>
    </row>
    <row r="707" spans="10:27" x14ac:dyDescent="0.25">
      <c r="J707" s="206"/>
      <c r="L707" s="206"/>
      <c r="O707" s="206"/>
      <c r="Q707" s="206"/>
      <c r="T707" s="206"/>
      <c r="AA707" s="202"/>
    </row>
    <row r="708" spans="10:27" x14ac:dyDescent="0.25">
      <c r="J708" s="206"/>
      <c r="L708" s="206"/>
      <c r="O708" s="206"/>
      <c r="Q708" s="206"/>
      <c r="T708" s="206"/>
      <c r="AA708" s="202"/>
    </row>
    <row r="709" spans="10:27" x14ac:dyDescent="0.25">
      <c r="J709" s="206"/>
      <c r="L709" s="206"/>
      <c r="O709" s="206"/>
      <c r="Q709" s="206"/>
      <c r="T709" s="206"/>
      <c r="AA709" s="202"/>
    </row>
    <row r="710" spans="10:27" x14ac:dyDescent="0.25">
      <c r="J710" s="206"/>
      <c r="L710" s="206"/>
      <c r="O710" s="206"/>
      <c r="Q710" s="206"/>
      <c r="T710" s="206"/>
      <c r="AA710" s="202"/>
    </row>
    <row r="711" spans="10:27" x14ac:dyDescent="0.25">
      <c r="J711" s="206"/>
      <c r="L711" s="206"/>
      <c r="O711" s="206"/>
      <c r="Q711" s="206"/>
      <c r="T711" s="206"/>
      <c r="AA711" s="202"/>
    </row>
    <row r="712" spans="10:27" x14ac:dyDescent="0.25">
      <c r="J712" s="206"/>
      <c r="L712" s="206"/>
      <c r="O712" s="206"/>
      <c r="Q712" s="206"/>
      <c r="T712" s="206"/>
      <c r="AA712" s="202"/>
    </row>
    <row r="713" spans="10:27" x14ac:dyDescent="0.25">
      <c r="J713" s="206"/>
      <c r="L713" s="206"/>
      <c r="O713" s="206"/>
      <c r="Q713" s="206"/>
      <c r="T713" s="206"/>
      <c r="AA713" s="202"/>
    </row>
    <row r="714" spans="10:27" x14ac:dyDescent="0.25">
      <c r="J714" s="206"/>
      <c r="L714" s="206"/>
      <c r="O714" s="206"/>
      <c r="Q714" s="206"/>
      <c r="T714" s="206"/>
      <c r="AA714" s="202"/>
    </row>
    <row r="715" spans="10:27" x14ac:dyDescent="0.25">
      <c r="J715" s="206"/>
      <c r="L715" s="206"/>
      <c r="O715" s="206"/>
      <c r="Q715" s="206"/>
      <c r="T715" s="206"/>
      <c r="AA715" s="202"/>
    </row>
    <row r="716" spans="10:27" x14ac:dyDescent="0.25">
      <c r="J716" s="206"/>
      <c r="L716" s="206"/>
      <c r="O716" s="206"/>
      <c r="Q716" s="206"/>
      <c r="T716" s="206"/>
      <c r="AA716" s="202"/>
    </row>
    <row r="717" spans="10:27" x14ac:dyDescent="0.25">
      <c r="J717" s="206"/>
      <c r="L717" s="206"/>
      <c r="O717" s="206"/>
      <c r="Q717" s="206"/>
      <c r="T717" s="206"/>
      <c r="AA717" s="202"/>
    </row>
    <row r="718" spans="10:27" x14ac:dyDescent="0.25">
      <c r="J718" s="206"/>
      <c r="L718" s="206"/>
      <c r="O718" s="206"/>
      <c r="Q718" s="206"/>
      <c r="T718" s="206"/>
      <c r="AA718" s="202"/>
    </row>
    <row r="719" spans="10:27" x14ac:dyDescent="0.25">
      <c r="J719" s="206"/>
      <c r="L719" s="206"/>
      <c r="O719" s="206"/>
      <c r="Q719" s="206"/>
      <c r="T719" s="206"/>
      <c r="AA719" s="202"/>
    </row>
    <row r="720" spans="10:27" x14ac:dyDescent="0.25">
      <c r="J720" s="206"/>
      <c r="L720" s="206"/>
      <c r="O720" s="206"/>
      <c r="Q720" s="206"/>
      <c r="T720" s="206"/>
      <c r="AA720" s="202"/>
    </row>
    <row r="721" spans="10:27" x14ac:dyDescent="0.25">
      <c r="J721" s="206"/>
      <c r="L721" s="206"/>
      <c r="O721" s="206"/>
      <c r="Q721" s="206"/>
      <c r="T721" s="206"/>
      <c r="AA721" s="202"/>
    </row>
    <row r="722" spans="10:27" x14ac:dyDescent="0.25">
      <c r="J722" s="206"/>
      <c r="L722" s="206"/>
      <c r="O722" s="206"/>
      <c r="Q722" s="206"/>
      <c r="T722" s="206"/>
      <c r="AA722" s="202"/>
    </row>
    <row r="723" spans="10:27" x14ac:dyDescent="0.25">
      <c r="J723" s="206"/>
      <c r="L723" s="206"/>
      <c r="O723" s="206"/>
      <c r="Q723" s="206"/>
      <c r="T723" s="206"/>
      <c r="AA723" s="202"/>
    </row>
    <row r="724" spans="10:27" x14ac:dyDescent="0.25">
      <c r="J724" s="206"/>
      <c r="L724" s="206"/>
      <c r="O724" s="206"/>
      <c r="Q724" s="206"/>
      <c r="T724" s="206"/>
      <c r="AA724" s="202"/>
    </row>
    <row r="725" spans="10:27" x14ac:dyDescent="0.25">
      <c r="J725" s="206"/>
      <c r="L725" s="206"/>
      <c r="O725" s="206"/>
      <c r="Q725" s="206"/>
      <c r="T725" s="206"/>
      <c r="AA725" s="202"/>
    </row>
    <row r="726" spans="10:27" x14ac:dyDescent="0.25">
      <c r="J726" s="206"/>
      <c r="L726" s="206"/>
      <c r="O726" s="206"/>
      <c r="Q726" s="206"/>
      <c r="T726" s="206"/>
      <c r="AA726" s="202"/>
    </row>
    <row r="727" spans="10:27" x14ac:dyDescent="0.25">
      <c r="J727" s="206"/>
      <c r="L727" s="206"/>
      <c r="O727" s="206"/>
      <c r="Q727" s="206"/>
      <c r="T727" s="206"/>
      <c r="AA727" s="202"/>
    </row>
    <row r="728" spans="10:27" x14ac:dyDescent="0.25">
      <c r="J728" s="206"/>
      <c r="L728" s="206"/>
      <c r="O728" s="206"/>
      <c r="Q728" s="206"/>
      <c r="T728" s="206"/>
      <c r="AA728" s="202"/>
    </row>
    <row r="729" spans="10:27" x14ac:dyDescent="0.25">
      <c r="J729" s="206"/>
      <c r="L729" s="206"/>
      <c r="O729" s="206"/>
      <c r="Q729" s="206"/>
      <c r="T729" s="206"/>
      <c r="AA729" s="202"/>
    </row>
    <row r="730" spans="10:27" x14ac:dyDescent="0.25">
      <c r="J730" s="206"/>
      <c r="L730" s="206"/>
      <c r="O730" s="206"/>
      <c r="Q730" s="206"/>
      <c r="T730" s="206"/>
      <c r="AA730" s="202"/>
    </row>
    <row r="731" spans="10:27" x14ac:dyDescent="0.25">
      <c r="J731" s="206"/>
      <c r="L731" s="206"/>
      <c r="O731" s="206"/>
      <c r="Q731" s="206"/>
      <c r="T731" s="206"/>
      <c r="AA731" s="202"/>
    </row>
    <row r="732" spans="10:27" x14ac:dyDescent="0.25">
      <c r="J732" s="206"/>
      <c r="L732" s="206"/>
      <c r="O732" s="206"/>
      <c r="Q732" s="206"/>
      <c r="T732" s="206"/>
      <c r="AA732" s="202"/>
    </row>
    <row r="733" spans="10:27" x14ac:dyDescent="0.25">
      <c r="J733" s="206"/>
      <c r="L733" s="206"/>
      <c r="O733" s="206"/>
      <c r="Q733" s="206"/>
      <c r="T733" s="206"/>
      <c r="AA733" s="202"/>
    </row>
    <row r="734" spans="10:27" x14ac:dyDescent="0.25">
      <c r="J734" s="206"/>
      <c r="L734" s="206"/>
      <c r="O734" s="206"/>
      <c r="Q734" s="206"/>
      <c r="T734" s="206"/>
      <c r="AA734" s="202"/>
    </row>
    <row r="735" spans="10:27" x14ac:dyDescent="0.25">
      <c r="J735" s="206"/>
      <c r="L735" s="206"/>
      <c r="O735" s="206"/>
      <c r="Q735" s="206"/>
      <c r="T735" s="206"/>
      <c r="AA735" s="202"/>
    </row>
    <row r="736" spans="10:27" x14ac:dyDescent="0.25">
      <c r="J736" s="206"/>
      <c r="L736" s="206"/>
      <c r="O736" s="206"/>
      <c r="Q736" s="206"/>
      <c r="T736" s="206"/>
      <c r="AA736" s="202"/>
    </row>
    <row r="737" spans="10:27" x14ac:dyDescent="0.25">
      <c r="J737" s="206"/>
      <c r="L737" s="206"/>
      <c r="O737" s="206"/>
      <c r="Q737" s="206"/>
      <c r="T737" s="206"/>
      <c r="AA737" s="202"/>
    </row>
    <row r="738" spans="10:27" x14ac:dyDescent="0.25">
      <c r="J738" s="206"/>
      <c r="L738" s="206"/>
      <c r="O738" s="206"/>
      <c r="Q738" s="206"/>
      <c r="T738" s="206"/>
      <c r="AA738" s="202"/>
    </row>
    <row r="739" spans="10:27" x14ac:dyDescent="0.25">
      <c r="J739" s="206"/>
      <c r="L739" s="206"/>
      <c r="O739" s="206"/>
      <c r="Q739" s="206"/>
      <c r="T739" s="206"/>
      <c r="AA739" s="202"/>
    </row>
    <row r="740" spans="10:27" x14ac:dyDescent="0.25">
      <c r="J740" s="206"/>
      <c r="L740" s="206"/>
      <c r="O740" s="206"/>
      <c r="Q740" s="206"/>
      <c r="T740" s="206"/>
      <c r="AA740" s="202"/>
    </row>
    <row r="741" spans="10:27" x14ac:dyDescent="0.25">
      <c r="J741" s="206"/>
      <c r="L741" s="206"/>
      <c r="O741" s="206"/>
      <c r="Q741" s="206"/>
      <c r="T741" s="206"/>
      <c r="AA741" s="202"/>
    </row>
    <row r="742" spans="10:27" x14ac:dyDescent="0.25">
      <c r="J742" s="206"/>
      <c r="L742" s="206"/>
      <c r="O742" s="206"/>
      <c r="Q742" s="206"/>
      <c r="T742" s="206"/>
      <c r="AA742" s="202"/>
    </row>
    <row r="743" spans="10:27" x14ac:dyDescent="0.25">
      <c r="J743" s="206"/>
      <c r="L743" s="206"/>
      <c r="O743" s="206"/>
      <c r="Q743" s="206"/>
      <c r="T743" s="206"/>
      <c r="AA743" s="202"/>
    </row>
    <row r="744" spans="10:27" x14ac:dyDescent="0.25">
      <c r="J744" s="206"/>
      <c r="L744" s="206"/>
      <c r="O744" s="206"/>
      <c r="Q744" s="206"/>
      <c r="T744" s="206"/>
      <c r="AA744" s="202"/>
    </row>
    <row r="745" spans="10:27" x14ac:dyDescent="0.25">
      <c r="J745" s="206"/>
      <c r="L745" s="206"/>
      <c r="O745" s="206"/>
      <c r="Q745" s="206"/>
      <c r="T745" s="206"/>
      <c r="AA745" s="202"/>
    </row>
    <row r="746" spans="10:27" x14ac:dyDescent="0.25">
      <c r="J746" s="206"/>
      <c r="L746" s="206"/>
      <c r="O746" s="206"/>
      <c r="Q746" s="206"/>
      <c r="T746" s="206"/>
      <c r="AA746" s="202"/>
    </row>
    <row r="747" spans="10:27" x14ac:dyDescent="0.25">
      <c r="J747" s="206"/>
      <c r="L747" s="206"/>
      <c r="O747" s="206"/>
      <c r="Q747" s="206"/>
      <c r="T747" s="206"/>
      <c r="AA747" s="202"/>
    </row>
    <row r="748" spans="10:27" x14ac:dyDescent="0.25">
      <c r="J748" s="206"/>
      <c r="L748" s="206"/>
      <c r="O748" s="206"/>
      <c r="Q748" s="206"/>
      <c r="T748" s="206"/>
      <c r="AA748" s="202"/>
    </row>
    <row r="749" spans="10:27" x14ac:dyDescent="0.25">
      <c r="J749" s="206"/>
      <c r="L749" s="206"/>
      <c r="O749" s="206"/>
      <c r="Q749" s="206"/>
      <c r="T749" s="206"/>
      <c r="AA749" s="202"/>
    </row>
    <row r="750" spans="10:27" x14ac:dyDescent="0.25">
      <c r="J750" s="206"/>
      <c r="L750" s="206"/>
      <c r="O750" s="206"/>
      <c r="Q750" s="206"/>
      <c r="T750" s="206"/>
      <c r="AA750" s="202"/>
    </row>
    <row r="751" spans="10:27" x14ac:dyDescent="0.25">
      <c r="J751" s="206"/>
      <c r="L751" s="206"/>
      <c r="O751" s="206"/>
      <c r="Q751" s="206"/>
      <c r="T751" s="206"/>
      <c r="AA751" s="202"/>
    </row>
    <row r="752" spans="10:27" x14ac:dyDescent="0.25">
      <c r="J752" s="206"/>
      <c r="L752" s="206"/>
      <c r="O752" s="206"/>
      <c r="Q752" s="206"/>
      <c r="T752" s="206"/>
      <c r="AA752" s="202"/>
    </row>
    <row r="753" spans="10:27" x14ac:dyDescent="0.25">
      <c r="J753" s="206"/>
      <c r="L753" s="206"/>
      <c r="O753" s="206"/>
      <c r="Q753" s="206"/>
      <c r="T753" s="206"/>
      <c r="AA753" s="202"/>
    </row>
    <row r="754" spans="10:27" x14ac:dyDescent="0.25">
      <c r="J754" s="206"/>
      <c r="L754" s="206"/>
      <c r="O754" s="206"/>
      <c r="Q754" s="206"/>
      <c r="T754" s="206"/>
      <c r="AA754" s="202"/>
    </row>
    <row r="755" spans="10:27" x14ac:dyDescent="0.25">
      <c r="J755" s="206"/>
      <c r="L755" s="206"/>
      <c r="O755" s="206"/>
      <c r="Q755" s="206"/>
      <c r="T755" s="206"/>
      <c r="AA755" s="202"/>
    </row>
    <row r="756" spans="10:27" x14ac:dyDescent="0.25">
      <c r="J756" s="206"/>
      <c r="L756" s="206"/>
      <c r="O756" s="206"/>
      <c r="Q756" s="206"/>
      <c r="T756" s="206"/>
      <c r="AA756" s="202"/>
    </row>
    <row r="757" spans="10:27" x14ac:dyDescent="0.25">
      <c r="J757" s="206"/>
      <c r="L757" s="206"/>
      <c r="O757" s="206"/>
      <c r="Q757" s="206"/>
      <c r="T757" s="206"/>
      <c r="AA757" s="202"/>
    </row>
    <row r="758" spans="10:27" x14ac:dyDescent="0.25">
      <c r="J758" s="206"/>
      <c r="L758" s="206"/>
      <c r="O758" s="206"/>
      <c r="Q758" s="206"/>
      <c r="T758" s="206"/>
      <c r="AA758" s="202"/>
    </row>
    <row r="759" spans="10:27" x14ac:dyDescent="0.25">
      <c r="J759" s="206"/>
      <c r="L759" s="206"/>
      <c r="O759" s="206"/>
      <c r="Q759" s="206"/>
      <c r="T759" s="206"/>
      <c r="AA759" s="202"/>
    </row>
    <row r="760" spans="10:27" x14ac:dyDescent="0.25">
      <c r="J760" s="206"/>
      <c r="L760" s="206"/>
      <c r="O760" s="206"/>
      <c r="Q760" s="206"/>
      <c r="T760" s="206"/>
      <c r="AA760" s="202"/>
    </row>
    <row r="761" spans="10:27" x14ac:dyDescent="0.25">
      <c r="J761" s="206"/>
      <c r="L761" s="206"/>
      <c r="O761" s="206"/>
      <c r="Q761" s="206"/>
      <c r="T761" s="206"/>
      <c r="AA761" s="202"/>
    </row>
    <row r="762" spans="10:27" x14ac:dyDescent="0.25">
      <c r="J762" s="206"/>
      <c r="L762" s="206"/>
      <c r="O762" s="206"/>
      <c r="Q762" s="206"/>
      <c r="T762" s="206"/>
      <c r="AA762" s="202"/>
    </row>
    <row r="763" spans="10:27" x14ac:dyDescent="0.25">
      <c r="J763" s="206"/>
      <c r="L763" s="206"/>
      <c r="O763" s="206"/>
      <c r="Q763" s="206"/>
      <c r="T763" s="206"/>
      <c r="AA763" s="202"/>
    </row>
    <row r="764" spans="10:27" x14ac:dyDescent="0.25">
      <c r="J764" s="206"/>
      <c r="L764" s="206"/>
      <c r="O764" s="206"/>
      <c r="Q764" s="206"/>
      <c r="T764" s="206"/>
      <c r="AA764" s="202"/>
    </row>
    <row r="765" spans="10:27" x14ac:dyDescent="0.25">
      <c r="J765" s="206"/>
      <c r="L765" s="206"/>
      <c r="O765" s="206"/>
      <c r="Q765" s="206"/>
      <c r="T765" s="206"/>
      <c r="AA765" s="202"/>
    </row>
    <row r="766" spans="10:27" x14ac:dyDescent="0.25">
      <c r="J766" s="206"/>
      <c r="L766" s="206"/>
      <c r="O766" s="206"/>
      <c r="Q766" s="206"/>
      <c r="T766" s="206"/>
      <c r="AA766" s="202"/>
    </row>
    <row r="767" spans="10:27" x14ac:dyDescent="0.25">
      <c r="J767" s="206"/>
      <c r="L767" s="206"/>
      <c r="O767" s="206"/>
      <c r="Q767" s="206"/>
      <c r="T767" s="206"/>
      <c r="AA767" s="202"/>
    </row>
    <row r="768" spans="10:27" x14ac:dyDescent="0.25">
      <c r="J768" s="206"/>
      <c r="L768" s="206"/>
      <c r="O768" s="206"/>
      <c r="Q768" s="206"/>
      <c r="T768" s="206"/>
      <c r="AA768" s="202"/>
    </row>
    <row r="769" spans="10:27" x14ac:dyDescent="0.25">
      <c r="J769" s="206"/>
      <c r="L769" s="206"/>
      <c r="O769" s="206"/>
      <c r="Q769" s="206"/>
      <c r="T769" s="206"/>
      <c r="AA769" s="202"/>
    </row>
    <row r="770" spans="10:27" x14ac:dyDescent="0.25">
      <c r="J770" s="206"/>
      <c r="L770" s="206"/>
      <c r="O770" s="206"/>
      <c r="Q770" s="206"/>
      <c r="T770" s="206"/>
      <c r="AA770" s="202"/>
    </row>
    <row r="771" spans="10:27" x14ac:dyDescent="0.25">
      <c r="J771" s="206"/>
      <c r="L771" s="206"/>
      <c r="O771" s="206"/>
      <c r="Q771" s="206"/>
      <c r="T771" s="206"/>
      <c r="AA771" s="202"/>
    </row>
    <row r="772" spans="10:27" x14ac:dyDescent="0.25">
      <c r="J772" s="206"/>
      <c r="L772" s="206"/>
      <c r="O772" s="206"/>
      <c r="Q772" s="206"/>
      <c r="T772" s="206"/>
      <c r="AA772" s="202"/>
    </row>
    <row r="773" spans="10:27" x14ac:dyDescent="0.25">
      <c r="J773" s="206"/>
      <c r="L773" s="206"/>
      <c r="O773" s="206"/>
      <c r="Q773" s="206"/>
      <c r="T773" s="206"/>
      <c r="AA773" s="202"/>
    </row>
    <row r="774" spans="10:27" x14ac:dyDescent="0.25">
      <c r="J774" s="206"/>
      <c r="L774" s="206"/>
      <c r="O774" s="206"/>
      <c r="Q774" s="206"/>
      <c r="T774" s="206"/>
      <c r="AA774" s="202"/>
    </row>
    <row r="775" spans="10:27" x14ac:dyDescent="0.25">
      <c r="J775" s="206"/>
      <c r="L775" s="206"/>
      <c r="O775" s="206"/>
      <c r="Q775" s="206"/>
      <c r="T775" s="206"/>
      <c r="AA775" s="202"/>
    </row>
    <row r="776" spans="10:27" x14ac:dyDescent="0.25">
      <c r="J776" s="206"/>
      <c r="L776" s="206"/>
      <c r="O776" s="206"/>
      <c r="Q776" s="206"/>
      <c r="T776" s="206"/>
      <c r="AA776" s="202"/>
    </row>
    <row r="777" spans="10:27" x14ac:dyDescent="0.25">
      <c r="J777" s="206"/>
      <c r="L777" s="206"/>
      <c r="O777" s="206"/>
      <c r="Q777" s="206"/>
      <c r="T777" s="206"/>
      <c r="AA777" s="202"/>
    </row>
    <row r="778" spans="10:27" x14ac:dyDescent="0.25">
      <c r="J778" s="206"/>
      <c r="L778" s="206"/>
      <c r="O778" s="206"/>
      <c r="Q778" s="206"/>
      <c r="T778" s="206"/>
      <c r="AA778" s="202"/>
    </row>
    <row r="779" spans="10:27" x14ac:dyDescent="0.25">
      <c r="J779" s="206"/>
      <c r="L779" s="206"/>
      <c r="O779" s="206"/>
      <c r="Q779" s="206"/>
      <c r="T779" s="206"/>
      <c r="AA779" s="202"/>
    </row>
    <row r="780" spans="10:27" x14ac:dyDescent="0.25">
      <c r="J780" s="206"/>
      <c r="L780" s="206"/>
      <c r="O780" s="206"/>
      <c r="Q780" s="206"/>
      <c r="T780" s="206"/>
      <c r="AA780" s="202"/>
    </row>
    <row r="781" spans="10:27" x14ac:dyDescent="0.25">
      <c r="J781" s="206"/>
      <c r="L781" s="206"/>
      <c r="O781" s="206"/>
      <c r="Q781" s="206"/>
      <c r="T781" s="206"/>
      <c r="AA781" s="202"/>
    </row>
    <row r="782" spans="10:27" x14ac:dyDescent="0.25">
      <c r="J782" s="206"/>
      <c r="L782" s="206"/>
      <c r="O782" s="206"/>
      <c r="Q782" s="206"/>
      <c r="T782" s="206"/>
      <c r="AA782" s="202"/>
    </row>
    <row r="783" spans="10:27" x14ac:dyDescent="0.25">
      <c r="J783" s="206"/>
      <c r="L783" s="206"/>
      <c r="O783" s="206"/>
      <c r="Q783" s="206"/>
      <c r="T783" s="206"/>
      <c r="AA783" s="202"/>
    </row>
    <row r="784" spans="10:27" x14ac:dyDescent="0.25">
      <c r="J784" s="206"/>
      <c r="L784" s="206"/>
      <c r="O784" s="206"/>
      <c r="Q784" s="206"/>
      <c r="T784" s="206"/>
      <c r="AA784" s="202"/>
    </row>
    <row r="785" spans="10:27" x14ac:dyDescent="0.25">
      <c r="J785" s="206"/>
      <c r="L785" s="206"/>
      <c r="O785" s="206"/>
      <c r="Q785" s="206"/>
      <c r="T785" s="206"/>
      <c r="AA785" s="202"/>
    </row>
    <row r="786" spans="10:27" x14ac:dyDescent="0.25">
      <c r="J786" s="206"/>
      <c r="L786" s="206"/>
      <c r="O786" s="206"/>
      <c r="Q786" s="206"/>
      <c r="T786" s="206"/>
      <c r="AA786" s="202"/>
    </row>
    <row r="787" spans="10:27" x14ac:dyDescent="0.25">
      <c r="J787" s="206"/>
      <c r="L787" s="206"/>
      <c r="O787" s="206"/>
      <c r="Q787" s="206"/>
      <c r="T787" s="206"/>
      <c r="AA787" s="202"/>
    </row>
    <row r="788" spans="10:27" x14ac:dyDescent="0.25">
      <c r="J788" s="206"/>
      <c r="L788" s="206"/>
      <c r="O788" s="206"/>
      <c r="Q788" s="206"/>
      <c r="T788" s="206"/>
      <c r="AA788" s="202"/>
    </row>
    <row r="789" spans="10:27" x14ac:dyDescent="0.25">
      <c r="J789" s="206"/>
      <c r="L789" s="206"/>
      <c r="O789" s="206"/>
      <c r="Q789" s="206"/>
      <c r="T789" s="206"/>
      <c r="AA789" s="202"/>
    </row>
    <row r="790" spans="10:27" x14ac:dyDescent="0.25">
      <c r="J790" s="206"/>
      <c r="L790" s="206"/>
      <c r="O790" s="206"/>
      <c r="Q790" s="206"/>
      <c r="T790" s="206"/>
      <c r="AA790" s="202"/>
    </row>
    <row r="791" spans="10:27" x14ac:dyDescent="0.25">
      <c r="J791" s="206"/>
      <c r="L791" s="206"/>
      <c r="O791" s="206"/>
      <c r="Q791" s="206"/>
      <c r="T791" s="206"/>
      <c r="AA791" s="202"/>
    </row>
    <row r="792" spans="10:27" x14ac:dyDescent="0.25">
      <c r="J792" s="206"/>
      <c r="L792" s="206"/>
      <c r="O792" s="206"/>
      <c r="Q792" s="206"/>
      <c r="T792" s="206"/>
      <c r="AA792" s="202"/>
    </row>
    <row r="793" spans="10:27" x14ac:dyDescent="0.25">
      <c r="J793" s="206"/>
      <c r="L793" s="206"/>
      <c r="O793" s="206"/>
      <c r="Q793" s="206"/>
      <c r="T793" s="206"/>
      <c r="AA793" s="202"/>
    </row>
    <row r="794" spans="10:27" x14ac:dyDescent="0.25">
      <c r="J794" s="206"/>
      <c r="L794" s="206"/>
      <c r="O794" s="206"/>
      <c r="Q794" s="206"/>
      <c r="T794" s="206"/>
      <c r="AA794" s="202"/>
    </row>
    <row r="795" spans="10:27" x14ac:dyDescent="0.25">
      <c r="J795" s="206"/>
      <c r="L795" s="206"/>
      <c r="O795" s="206"/>
      <c r="Q795" s="206"/>
      <c r="T795" s="206"/>
      <c r="AA795" s="202"/>
    </row>
    <row r="796" spans="10:27" x14ac:dyDescent="0.25">
      <c r="J796" s="206"/>
      <c r="L796" s="206"/>
      <c r="O796" s="206"/>
      <c r="Q796" s="206"/>
      <c r="T796" s="206"/>
      <c r="AA796" s="202"/>
    </row>
    <row r="797" spans="10:27" x14ac:dyDescent="0.25">
      <c r="J797" s="206"/>
      <c r="L797" s="206"/>
      <c r="O797" s="206"/>
      <c r="Q797" s="206"/>
      <c r="T797" s="206"/>
      <c r="AA797" s="202"/>
    </row>
    <row r="798" spans="10:27" x14ac:dyDescent="0.25">
      <c r="J798" s="206"/>
      <c r="L798" s="206"/>
      <c r="O798" s="206"/>
      <c r="Q798" s="206"/>
      <c r="T798" s="206"/>
      <c r="AA798" s="202"/>
    </row>
    <row r="799" spans="10:27" x14ac:dyDescent="0.25">
      <c r="J799" s="206"/>
      <c r="L799" s="206"/>
      <c r="O799" s="206"/>
      <c r="Q799" s="206"/>
      <c r="T799" s="206"/>
      <c r="AA799" s="202"/>
    </row>
    <row r="800" spans="10:27" x14ac:dyDescent="0.25">
      <c r="J800" s="206"/>
      <c r="L800" s="206"/>
      <c r="O800" s="206"/>
      <c r="Q800" s="206"/>
      <c r="T800" s="206"/>
      <c r="AA800" s="202"/>
    </row>
    <row r="801" spans="10:27" x14ac:dyDescent="0.25">
      <c r="J801" s="206"/>
      <c r="L801" s="206"/>
      <c r="O801" s="206"/>
      <c r="Q801" s="206"/>
      <c r="T801" s="206"/>
      <c r="AA801" s="202"/>
    </row>
    <row r="802" spans="10:27" x14ac:dyDescent="0.25">
      <c r="J802" s="206"/>
      <c r="L802" s="206"/>
      <c r="O802" s="206"/>
      <c r="Q802" s="206"/>
      <c r="T802" s="206"/>
      <c r="AA802" s="202"/>
    </row>
    <row r="803" spans="10:27" x14ac:dyDescent="0.25">
      <c r="J803" s="206"/>
      <c r="L803" s="206"/>
      <c r="O803" s="206"/>
      <c r="Q803" s="206"/>
      <c r="T803" s="206"/>
      <c r="AA803" s="202"/>
    </row>
    <row r="804" spans="10:27" x14ac:dyDescent="0.25">
      <c r="J804" s="206"/>
      <c r="L804" s="206"/>
      <c r="O804" s="206"/>
      <c r="Q804" s="206"/>
      <c r="T804" s="206"/>
      <c r="AA804" s="202"/>
    </row>
    <row r="805" spans="10:27" x14ac:dyDescent="0.25">
      <c r="J805" s="206"/>
      <c r="L805" s="206"/>
      <c r="O805" s="206"/>
      <c r="Q805" s="206"/>
      <c r="T805" s="206"/>
      <c r="AA805" s="202"/>
    </row>
    <row r="806" spans="10:27" x14ac:dyDescent="0.25">
      <c r="J806" s="206"/>
      <c r="L806" s="206"/>
      <c r="O806" s="206"/>
      <c r="Q806" s="206"/>
      <c r="T806" s="206"/>
      <c r="AA806" s="202"/>
    </row>
    <row r="807" spans="10:27" x14ac:dyDescent="0.25">
      <c r="J807" s="206"/>
      <c r="L807" s="206"/>
      <c r="O807" s="206"/>
      <c r="Q807" s="206"/>
      <c r="T807" s="206"/>
      <c r="AA807" s="202"/>
    </row>
    <row r="808" spans="10:27" x14ac:dyDescent="0.25">
      <c r="J808" s="206"/>
      <c r="L808" s="206"/>
      <c r="O808" s="206"/>
      <c r="Q808" s="206"/>
      <c r="T808" s="206"/>
      <c r="AA808" s="202"/>
    </row>
    <row r="809" spans="10:27" x14ac:dyDescent="0.25">
      <c r="J809" s="206"/>
      <c r="L809" s="206"/>
      <c r="O809" s="206"/>
      <c r="Q809" s="206"/>
      <c r="T809" s="206"/>
      <c r="AA809" s="202"/>
    </row>
    <row r="810" spans="10:27" x14ac:dyDescent="0.25">
      <c r="J810" s="206"/>
      <c r="L810" s="206"/>
      <c r="O810" s="206"/>
      <c r="Q810" s="206"/>
      <c r="T810" s="206"/>
      <c r="AA810" s="202"/>
    </row>
    <row r="811" spans="10:27" x14ac:dyDescent="0.25">
      <c r="J811" s="206"/>
      <c r="L811" s="206"/>
      <c r="O811" s="206"/>
      <c r="Q811" s="206"/>
      <c r="T811" s="206"/>
      <c r="AA811" s="202"/>
    </row>
    <row r="812" spans="10:27" x14ac:dyDescent="0.25">
      <c r="J812" s="206"/>
      <c r="L812" s="206"/>
      <c r="O812" s="206"/>
      <c r="Q812" s="206"/>
      <c r="T812" s="206"/>
      <c r="AA812" s="202"/>
    </row>
    <row r="813" spans="10:27" x14ac:dyDescent="0.25">
      <c r="J813" s="206"/>
      <c r="L813" s="206"/>
      <c r="O813" s="206"/>
      <c r="Q813" s="206"/>
      <c r="T813" s="206"/>
      <c r="AA813" s="202"/>
    </row>
    <row r="814" spans="10:27" x14ac:dyDescent="0.25">
      <c r="J814" s="206"/>
      <c r="L814" s="206"/>
      <c r="O814" s="206"/>
      <c r="Q814" s="206"/>
      <c r="T814" s="206"/>
      <c r="AA814" s="202"/>
    </row>
    <row r="815" spans="10:27" x14ac:dyDescent="0.25">
      <c r="J815" s="206"/>
      <c r="L815" s="206"/>
      <c r="O815" s="206"/>
      <c r="Q815" s="206"/>
      <c r="T815" s="206"/>
      <c r="AA815" s="202"/>
    </row>
    <row r="816" spans="10:27" x14ac:dyDescent="0.25">
      <c r="J816" s="206"/>
      <c r="L816" s="206"/>
      <c r="O816" s="206"/>
      <c r="Q816" s="206"/>
      <c r="T816" s="206"/>
      <c r="AA816" s="202"/>
    </row>
    <row r="817" spans="10:27" x14ac:dyDescent="0.25">
      <c r="J817" s="206"/>
      <c r="L817" s="206"/>
      <c r="O817" s="206"/>
      <c r="Q817" s="206"/>
      <c r="T817" s="206"/>
      <c r="AA817" s="202"/>
    </row>
    <row r="818" spans="10:27" x14ac:dyDescent="0.25">
      <c r="J818" s="206"/>
      <c r="L818" s="206"/>
      <c r="O818" s="206"/>
      <c r="Q818" s="206"/>
      <c r="T818" s="206"/>
      <c r="AA818" s="202"/>
    </row>
    <row r="819" spans="10:27" x14ac:dyDescent="0.25">
      <c r="J819" s="206"/>
      <c r="L819" s="206"/>
      <c r="O819" s="206"/>
      <c r="Q819" s="206"/>
      <c r="T819" s="206"/>
      <c r="AA819" s="202"/>
    </row>
    <row r="820" spans="10:27" x14ac:dyDescent="0.25">
      <c r="J820" s="206"/>
      <c r="L820" s="206"/>
      <c r="O820" s="206"/>
      <c r="Q820" s="206"/>
      <c r="T820" s="206"/>
      <c r="AA820" s="202"/>
    </row>
    <row r="821" spans="10:27" x14ac:dyDescent="0.25">
      <c r="J821" s="206"/>
      <c r="L821" s="206"/>
      <c r="O821" s="206"/>
      <c r="Q821" s="206"/>
      <c r="T821" s="206"/>
      <c r="AA821" s="202"/>
    </row>
    <row r="822" spans="10:27" x14ac:dyDescent="0.25">
      <c r="J822" s="206"/>
      <c r="L822" s="206"/>
      <c r="O822" s="206"/>
      <c r="Q822" s="206"/>
      <c r="T822" s="206"/>
      <c r="AA822" s="202"/>
    </row>
    <row r="823" spans="10:27" x14ac:dyDescent="0.25">
      <c r="J823" s="206"/>
      <c r="L823" s="206"/>
      <c r="O823" s="206"/>
      <c r="Q823" s="206"/>
      <c r="T823" s="206"/>
      <c r="AA823" s="202"/>
    </row>
    <row r="824" spans="10:27" x14ac:dyDescent="0.25">
      <c r="J824" s="206"/>
      <c r="L824" s="206"/>
      <c r="O824" s="206"/>
      <c r="Q824" s="206"/>
      <c r="T824" s="206"/>
      <c r="AA824" s="202"/>
    </row>
    <row r="825" spans="10:27" x14ac:dyDescent="0.25">
      <c r="J825" s="206"/>
      <c r="L825" s="206"/>
      <c r="O825" s="206"/>
      <c r="Q825" s="206"/>
      <c r="T825" s="206"/>
    </row>
    <row r="826" spans="10:27" x14ac:dyDescent="0.25">
      <c r="J826" s="206"/>
      <c r="L826" s="206"/>
      <c r="O826" s="206"/>
      <c r="Q826" s="206"/>
      <c r="T826" s="20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8D2E-3370-4EB9-BBC8-A560D6798D29}">
  <dimension ref="A1:AC83"/>
  <sheetViews>
    <sheetView workbookViewId="0">
      <selection activeCell="G26" sqref="G26"/>
    </sheetView>
  </sheetViews>
  <sheetFormatPr defaultRowHeight="13.8" x14ac:dyDescent="0.25"/>
  <cols>
    <col min="2" max="2" width="11.77734375" customWidth="1"/>
    <col min="3" max="3" width="14.109375" customWidth="1"/>
    <col min="5" max="5" width="14.21875" customWidth="1"/>
    <col min="7" max="7" width="64.77734375" customWidth="1"/>
    <col min="9" max="9" width="60" customWidth="1"/>
  </cols>
  <sheetData>
    <row r="1" spans="1:10" x14ac:dyDescent="0.25">
      <c r="A1" s="326" t="s">
        <v>127</v>
      </c>
      <c r="B1" s="326"/>
      <c r="C1" s="326"/>
      <c r="D1" s="326"/>
      <c r="E1" s="326"/>
      <c r="F1" s="323" t="s">
        <v>492</v>
      </c>
      <c r="G1" s="324"/>
      <c r="I1" s="325" t="s">
        <v>126</v>
      </c>
      <c r="J1" s="325"/>
    </row>
    <row r="2" spans="1:10" x14ac:dyDescent="0.25">
      <c r="A2" s="281" t="s">
        <v>493</v>
      </c>
      <c r="B2" t="s">
        <v>137</v>
      </c>
      <c r="C2" t="s">
        <v>344</v>
      </c>
      <c r="E2" t="s">
        <v>330</v>
      </c>
      <c r="F2" s="322" t="s">
        <v>432</v>
      </c>
      <c r="G2" t="s">
        <v>449</v>
      </c>
      <c r="I2" t="s">
        <v>499</v>
      </c>
    </row>
    <row r="3" spans="1:10" x14ac:dyDescent="0.25">
      <c r="A3" s="281"/>
      <c r="B3" t="s">
        <v>147</v>
      </c>
      <c r="C3" t="s">
        <v>438</v>
      </c>
      <c r="E3" t="s">
        <v>331</v>
      </c>
      <c r="F3" s="322"/>
      <c r="G3" t="s">
        <v>387</v>
      </c>
      <c r="I3" t="s">
        <v>500</v>
      </c>
    </row>
    <row r="4" spans="1:10" x14ac:dyDescent="0.25">
      <c r="A4" s="281"/>
      <c r="B4" t="s">
        <v>154</v>
      </c>
      <c r="C4" t="s">
        <v>345</v>
      </c>
      <c r="E4" t="s">
        <v>332</v>
      </c>
      <c r="F4" s="322"/>
      <c r="G4" t="s">
        <v>450</v>
      </c>
      <c r="I4" t="s">
        <v>509</v>
      </c>
    </row>
    <row r="5" spans="1:10" x14ac:dyDescent="0.25">
      <c r="A5" s="281"/>
      <c r="B5" t="s">
        <v>158</v>
      </c>
      <c r="C5" t="s">
        <v>377</v>
      </c>
      <c r="F5" s="322"/>
      <c r="G5" t="s">
        <v>388</v>
      </c>
      <c r="I5" t="s">
        <v>510</v>
      </c>
      <c r="J5" t="s">
        <v>511</v>
      </c>
    </row>
    <row r="6" spans="1:10" x14ac:dyDescent="0.25">
      <c r="A6" s="281"/>
      <c r="B6" t="s">
        <v>145</v>
      </c>
      <c r="C6" t="s">
        <v>378</v>
      </c>
      <c r="F6" s="322"/>
      <c r="G6" t="s">
        <v>443</v>
      </c>
      <c r="I6" t="s">
        <v>501</v>
      </c>
    </row>
    <row r="7" spans="1:10" x14ac:dyDescent="0.25">
      <c r="A7" s="281"/>
      <c r="B7" t="s">
        <v>309</v>
      </c>
      <c r="C7" t="s">
        <v>379</v>
      </c>
      <c r="F7" s="322"/>
      <c r="G7" t="s">
        <v>442</v>
      </c>
      <c r="I7" t="s">
        <v>502</v>
      </c>
    </row>
    <row r="8" spans="1:10" x14ac:dyDescent="0.25">
      <c r="A8" s="281"/>
      <c r="B8" t="s">
        <v>153</v>
      </c>
      <c r="C8" t="s">
        <v>380</v>
      </c>
      <c r="F8" s="322"/>
      <c r="G8" t="s">
        <v>389</v>
      </c>
      <c r="I8" t="s">
        <v>503</v>
      </c>
    </row>
    <row r="9" spans="1:10" x14ac:dyDescent="0.25">
      <c r="A9" s="281"/>
      <c r="B9" t="s">
        <v>311</v>
      </c>
      <c r="C9" t="s">
        <v>472</v>
      </c>
      <c r="F9" s="322"/>
      <c r="G9" t="s">
        <v>390</v>
      </c>
      <c r="I9" t="s">
        <v>504</v>
      </c>
    </row>
    <row r="10" spans="1:10" x14ac:dyDescent="0.25">
      <c r="A10" s="281"/>
      <c r="B10" t="s">
        <v>312</v>
      </c>
      <c r="C10" t="s">
        <v>381</v>
      </c>
      <c r="F10" s="322"/>
      <c r="G10" t="s">
        <v>391</v>
      </c>
      <c r="I10" t="s">
        <v>505</v>
      </c>
    </row>
    <row r="11" spans="1:10" x14ac:dyDescent="0.25">
      <c r="A11" s="281"/>
      <c r="B11" t="s">
        <v>313</v>
      </c>
      <c r="C11" t="s">
        <v>473</v>
      </c>
      <c r="F11" s="322"/>
      <c r="G11" t="s">
        <v>392</v>
      </c>
      <c r="I11" t="s">
        <v>506</v>
      </c>
    </row>
    <row r="12" spans="1:10" x14ac:dyDescent="0.25">
      <c r="A12" s="281"/>
      <c r="B12" t="s">
        <v>314</v>
      </c>
      <c r="C12" t="s">
        <v>471</v>
      </c>
      <c r="F12" s="322"/>
      <c r="G12" t="s">
        <v>393</v>
      </c>
      <c r="I12" t="s">
        <v>507</v>
      </c>
    </row>
    <row r="13" spans="1:10" x14ac:dyDescent="0.25">
      <c r="A13" s="281"/>
      <c r="B13" t="s">
        <v>157</v>
      </c>
      <c r="C13" t="s">
        <v>382</v>
      </c>
      <c r="F13" s="322"/>
      <c r="G13" t="s">
        <v>394</v>
      </c>
      <c r="I13" t="s">
        <v>508</v>
      </c>
    </row>
    <row r="14" spans="1:10" x14ac:dyDescent="0.25">
      <c r="A14" s="281"/>
      <c r="B14" t="s">
        <v>475</v>
      </c>
      <c r="C14" t="s">
        <v>476</v>
      </c>
      <c r="F14" s="322"/>
      <c r="G14" t="s">
        <v>395</v>
      </c>
    </row>
    <row r="15" spans="1:10" x14ac:dyDescent="0.25">
      <c r="A15" s="281"/>
      <c r="B15" t="s">
        <v>315</v>
      </c>
      <c r="C15" t="s">
        <v>474</v>
      </c>
      <c r="F15" s="322"/>
      <c r="G15" t="s">
        <v>396</v>
      </c>
    </row>
    <row r="16" spans="1:10" x14ac:dyDescent="0.25">
      <c r="A16" s="281"/>
      <c r="B16" t="s">
        <v>316</v>
      </c>
      <c r="C16" t="s">
        <v>386</v>
      </c>
      <c r="F16" s="322"/>
      <c r="G16" t="s">
        <v>397</v>
      </c>
    </row>
    <row r="17" spans="1:10" x14ac:dyDescent="0.25">
      <c r="A17" s="281"/>
      <c r="B17" t="s">
        <v>317</v>
      </c>
      <c r="C17" t="s">
        <v>386</v>
      </c>
      <c r="F17" s="322"/>
      <c r="G17" t="s">
        <v>398</v>
      </c>
    </row>
    <row r="18" spans="1:10" x14ac:dyDescent="0.25">
      <c r="A18" s="281"/>
      <c r="B18" t="s">
        <v>318</v>
      </c>
      <c r="C18" t="s">
        <v>383</v>
      </c>
      <c r="F18" s="322"/>
      <c r="G18" t="s">
        <v>399</v>
      </c>
    </row>
    <row r="19" spans="1:10" x14ac:dyDescent="0.25">
      <c r="A19" s="281"/>
      <c r="B19" t="s">
        <v>319</v>
      </c>
      <c r="C19" t="s">
        <v>477</v>
      </c>
      <c r="F19" s="322"/>
      <c r="G19" t="s">
        <v>400</v>
      </c>
    </row>
    <row r="20" spans="1:10" x14ac:dyDescent="0.25">
      <c r="A20" s="281"/>
      <c r="B20" t="s">
        <v>148</v>
      </c>
      <c r="C20" t="s">
        <v>384</v>
      </c>
      <c r="F20" s="322"/>
      <c r="G20" t="s">
        <v>401</v>
      </c>
    </row>
    <row r="21" spans="1:10" x14ac:dyDescent="0.25">
      <c r="A21" s="281"/>
      <c r="B21" t="s">
        <v>150</v>
      </c>
      <c r="C21" t="s">
        <v>478</v>
      </c>
      <c r="F21" s="322"/>
      <c r="G21" t="s">
        <v>402</v>
      </c>
    </row>
    <row r="22" spans="1:10" x14ac:dyDescent="0.25">
      <c r="A22" s="281"/>
      <c r="B22" t="s">
        <v>479</v>
      </c>
      <c r="C22" t="s">
        <v>480</v>
      </c>
      <c r="F22" s="322"/>
      <c r="G22" t="s">
        <v>403</v>
      </c>
    </row>
    <row r="23" spans="1:10" x14ac:dyDescent="0.25">
      <c r="A23" s="281"/>
      <c r="B23" t="s">
        <v>320</v>
      </c>
      <c r="C23" t="s">
        <v>385</v>
      </c>
      <c r="F23" s="322"/>
      <c r="G23" t="s">
        <v>451</v>
      </c>
    </row>
    <row r="24" spans="1:10" x14ac:dyDescent="0.25">
      <c r="A24" s="281"/>
      <c r="B24" t="s">
        <v>321</v>
      </c>
      <c r="C24" t="s">
        <v>481</v>
      </c>
      <c r="F24" s="322"/>
      <c r="G24" t="s">
        <v>404</v>
      </c>
    </row>
    <row r="25" spans="1:10" x14ac:dyDescent="0.25">
      <c r="A25" s="281" t="s">
        <v>494</v>
      </c>
      <c r="B25" s="327" t="s">
        <v>495</v>
      </c>
      <c r="C25" s="328"/>
      <c r="D25" s="328" t="s">
        <v>361</v>
      </c>
      <c r="E25" s="329"/>
      <c r="F25" s="322"/>
      <c r="G25" t="s">
        <v>405</v>
      </c>
    </row>
    <row r="26" spans="1:10" x14ac:dyDescent="0.25">
      <c r="A26" s="281"/>
      <c r="B26" s="328" t="s">
        <v>496</v>
      </c>
      <c r="C26" s="328"/>
      <c r="D26" s="328" t="s">
        <v>362</v>
      </c>
      <c r="E26" s="329"/>
      <c r="F26" s="322"/>
      <c r="G26" t="s">
        <v>406</v>
      </c>
    </row>
    <row r="27" spans="1:10" x14ac:dyDescent="0.25">
      <c r="A27" s="281"/>
      <c r="B27" t="s">
        <v>322</v>
      </c>
      <c r="C27" s="281" t="s">
        <v>484</v>
      </c>
      <c r="D27" t="s">
        <v>347</v>
      </c>
      <c r="F27" s="322"/>
      <c r="G27" t="s">
        <v>407</v>
      </c>
    </row>
    <row r="28" spans="1:10" x14ac:dyDescent="0.25">
      <c r="A28" s="281"/>
      <c r="B28" t="s">
        <v>324</v>
      </c>
      <c r="C28" s="281"/>
      <c r="D28" t="s">
        <v>347</v>
      </c>
      <c r="E28" t="s">
        <v>325</v>
      </c>
      <c r="F28" s="322"/>
      <c r="G28" t="s">
        <v>408</v>
      </c>
      <c r="J28" t="s">
        <v>359</v>
      </c>
    </row>
    <row r="29" spans="1:10" x14ac:dyDescent="0.25">
      <c r="A29" s="281"/>
      <c r="B29" t="s">
        <v>143</v>
      </c>
      <c r="C29" s="281"/>
      <c r="D29" t="s">
        <v>348</v>
      </c>
      <c r="E29" t="s">
        <v>357</v>
      </c>
      <c r="F29" s="322"/>
      <c r="G29" t="s">
        <v>444</v>
      </c>
      <c r="J29" t="s">
        <v>360</v>
      </c>
    </row>
    <row r="30" spans="1:10" x14ac:dyDescent="0.25">
      <c r="A30" s="281"/>
      <c r="B30" t="s">
        <v>333</v>
      </c>
      <c r="C30" s="281"/>
      <c r="D30" t="s">
        <v>349</v>
      </c>
      <c r="E30" t="s">
        <v>358</v>
      </c>
      <c r="F30" s="322"/>
      <c r="G30" t="s">
        <v>409</v>
      </c>
    </row>
    <row r="31" spans="1:10" x14ac:dyDescent="0.25">
      <c r="A31" s="281"/>
      <c r="B31" t="s">
        <v>337</v>
      </c>
      <c r="C31" s="281"/>
      <c r="D31" t="s">
        <v>349</v>
      </c>
      <c r="E31" t="s">
        <v>354</v>
      </c>
      <c r="F31" s="322"/>
      <c r="G31" t="s">
        <v>410</v>
      </c>
    </row>
    <row r="32" spans="1:10" x14ac:dyDescent="0.25">
      <c r="A32" s="281"/>
      <c r="B32" t="s">
        <v>335</v>
      </c>
      <c r="C32" s="281"/>
      <c r="D32" t="s">
        <v>347</v>
      </c>
      <c r="E32" t="s">
        <v>351</v>
      </c>
      <c r="F32" s="322"/>
      <c r="G32" t="s">
        <v>411</v>
      </c>
    </row>
    <row r="33" spans="1:29" x14ac:dyDescent="0.25">
      <c r="A33" s="281"/>
      <c r="B33" t="s">
        <v>334</v>
      </c>
      <c r="C33" s="281"/>
      <c r="D33" t="s">
        <v>347</v>
      </c>
      <c r="E33" t="s">
        <v>310</v>
      </c>
      <c r="F33" s="322"/>
      <c r="G33" t="s">
        <v>412</v>
      </c>
    </row>
    <row r="34" spans="1:29" x14ac:dyDescent="0.25">
      <c r="A34" s="281"/>
      <c r="B34" t="s">
        <v>336</v>
      </c>
      <c r="C34" s="281"/>
      <c r="D34" t="s">
        <v>347</v>
      </c>
      <c r="E34" t="s">
        <v>350</v>
      </c>
      <c r="F34" s="322"/>
      <c r="G34" t="s">
        <v>413</v>
      </c>
    </row>
    <row r="35" spans="1:29" x14ac:dyDescent="0.25">
      <c r="A35" s="281"/>
      <c r="B35" t="s">
        <v>338</v>
      </c>
      <c r="C35" s="281"/>
      <c r="D35" t="s">
        <v>348</v>
      </c>
      <c r="E35" t="s">
        <v>352</v>
      </c>
      <c r="F35" s="322"/>
      <c r="G35" t="s">
        <v>414</v>
      </c>
    </row>
    <row r="36" spans="1:29" x14ac:dyDescent="0.25">
      <c r="A36" s="281"/>
      <c r="B36" t="s">
        <v>323</v>
      </c>
      <c r="C36" s="281" t="s">
        <v>339</v>
      </c>
      <c r="D36" t="s">
        <v>347</v>
      </c>
      <c r="F36" s="322"/>
      <c r="G36" t="s">
        <v>415</v>
      </c>
    </row>
    <row r="37" spans="1:29" x14ac:dyDescent="0.25">
      <c r="A37" s="281"/>
      <c r="B37" t="s">
        <v>326</v>
      </c>
      <c r="C37" s="281"/>
      <c r="D37" t="s">
        <v>348</v>
      </c>
      <c r="E37" t="s">
        <v>357</v>
      </c>
      <c r="F37" s="322"/>
      <c r="G37" t="s">
        <v>416</v>
      </c>
    </row>
    <row r="38" spans="1:29" x14ac:dyDescent="0.25">
      <c r="A38" s="281"/>
      <c r="B38" t="s">
        <v>327</v>
      </c>
      <c r="C38" s="281"/>
      <c r="D38" t="s">
        <v>349</v>
      </c>
      <c r="E38" t="s">
        <v>356</v>
      </c>
      <c r="F38" s="322"/>
      <c r="G38" t="s">
        <v>417</v>
      </c>
    </row>
    <row r="39" spans="1:29" x14ac:dyDescent="0.25">
      <c r="A39" s="281"/>
      <c r="B39" t="s">
        <v>340</v>
      </c>
      <c r="C39" s="281"/>
      <c r="D39" t="s">
        <v>347</v>
      </c>
      <c r="F39" s="322" t="s">
        <v>445</v>
      </c>
      <c r="G39" t="s">
        <v>418</v>
      </c>
    </row>
    <row r="40" spans="1:29" x14ac:dyDescent="0.25">
      <c r="A40" s="281"/>
      <c r="B40" t="s">
        <v>341</v>
      </c>
      <c r="C40" s="281"/>
      <c r="D40" t="s">
        <v>347</v>
      </c>
      <c r="E40" t="s">
        <v>355</v>
      </c>
      <c r="F40" s="322"/>
      <c r="G40" t="s">
        <v>419</v>
      </c>
      <c r="AC40" t="s">
        <v>552</v>
      </c>
    </row>
    <row r="41" spans="1:29" x14ac:dyDescent="0.25">
      <c r="A41" s="281"/>
      <c r="B41" t="s">
        <v>342</v>
      </c>
      <c r="C41" s="281"/>
      <c r="D41" t="s">
        <v>347</v>
      </c>
      <c r="E41" t="s">
        <v>325</v>
      </c>
      <c r="F41" s="322"/>
      <c r="G41" t="s">
        <v>420</v>
      </c>
    </row>
    <row r="42" spans="1:29" x14ac:dyDescent="0.25">
      <c r="A42" s="281"/>
      <c r="B42" t="s">
        <v>328</v>
      </c>
      <c r="C42" s="281"/>
      <c r="D42" t="s">
        <v>347</v>
      </c>
      <c r="E42" t="s">
        <v>353</v>
      </c>
      <c r="F42" s="322"/>
      <c r="G42" t="s">
        <v>421</v>
      </c>
    </row>
    <row r="43" spans="1:29" x14ac:dyDescent="0.25">
      <c r="A43" s="281"/>
      <c r="B43" t="s">
        <v>329</v>
      </c>
      <c r="C43" s="281"/>
      <c r="D43" t="s">
        <v>349</v>
      </c>
      <c r="E43" t="s">
        <v>354</v>
      </c>
      <c r="F43" s="322"/>
      <c r="G43" t="s">
        <v>452</v>
      </c>
    </row>
    <row r="44" spans="1:29" x14ac:dyDescent="0.25">
      <c r="A44" s="281"/>
      <c r="B44" t="s">
        <v>343</v>
      </c>
      <c r="C44" s="281"/>
      <c r="D44" t="s">
        <v>348</v>
      </c>
      <c r="E44" t="s">
        <v>352</v>
      </c>
      <c r="F44" s="322" t="s">
        <v>433</v>
      </c>
      <c r="G44" t="s">
        <v>422</v>
      </c>
    </row>
    <row r="45" spans="1:29" x14ac:dyDescent="0.25">
      <c r="A45" s="281"/>
      <c r="B45" t="s">
        <v>144</v>
      </c>
      <c r="C45" t="s">
        <v>482</v>
      </c>
      <c r="D45" t="s">
        <v>347</v>
      </c>
      <c r="F45" s="322"/>
      <c r="G45" t="s">
        <v>486</v>
      </c>
    </row>
    <row r="46" spans="1:29" x14ac:dyDescent="0.25">
      <c r="A46" s="281"/>
      <c r="B46" t="s">
        <v>363</v>
      </c>
      <c r="C46" t="s">
        <v>483</v>
      </c>
      <c r="D46" t="s">
        <v>347</v>
      </c>
      <c r="F46" s="322"/>
      <c r="G46" t="s">
        <v>487</v>
      </c>
    </row>
    <row r="47" spans="1:29" x14ac:dyDescent="0.25">
      <c r="A47" s="281"/>
      <c r="B47" t="s">
        <v>364</v>
      </c>
      <c r="D47" t="s">
        <v>366</v>
      </c>
      <c r="F47" s="322"/>
      <c r="G47" t="s">
        <v>423</v>
      </c>
    </row>
    <row r="48" spans="1:29" x14ac:dyDescent="0.25">
      <c r="A48" s="281"/>
      <c r="B48" t="s">
        <v>365</v>
      </c>
      <c r="D48" t="s">
        <v>366</v>
      </c>
      <c r="F48" s="322"/>
      <c r="G48" t="s">
        <v>424</v>
      </c>
    </row>
    <row r="49" spans="1:7" x14ac:dyDescent="0.25">
      <c r="A49" s="281"/>
      <c r="B49" t="s">
        <v>367</v>
      </c>
      <c r="C49" s="281" t="s">
        <v>485</v>
      </c>
      <c r="D49" t="s">
        <v>366</v>
      </c>
      <c r="F49" s="322"/>
      <c r="G49" t="s">
        <v>488</v>
      </c>
    </row>
    <row r="50" spans="1:7" x14ac:dyDescent="0.25">
      <c r="A50" s="281"/>
      <c r="B50" t="s">
        <v>368</v>
      </c>
      <c r="C50" s="281"/>
      <c r="D50" t="s">
        <v>375</v>
      </c>
      <c r="F50" s="322"/>
      <c r="G50" t="s">
        <v>489</v>
      </c>
    </row>
    <row r="51" spans="1:7" x14ac:dyDescent="0.25">
      <c r="A51" s="281"/>
      <c r="B51" t="s">
        <v>369</v>
      </c>
      <c r="C51" s="281"/>
      <c r="D51" t="s">
        <v>366</v>
      </c>
      <c r="F51" s="322"/>
      <c r="G51" t="s">
        <v>425</v>
      </c>
    </row>
    <row r="52" spans="1:7" x14ac:dyDescent="0.25">
      <c r="A52" s="281"/>
      <c r="B52" t="s">
        <v>370</v>
      </c>
      <c r="C52" s="281"/>
      <c r="D52" t="s">
        <v>375</v>
      </c>
      <c r="F52" s="322"/>
      <c r="G52" t="s">
        <v>490</v>
      </c>
    </row>
    <row r="53" spans="1:7" x14ac:dyDescent="0.25">
      <c r="A53" s="281"/>
      <c r="B53" t="s">
        <v>371</v>
      </c>
      <c r="C53" s="281"/>
      <c r="D53" t="s">
        <v>366</v>
      </c>
      <c r="F53" s="322"/>
      <c r="G53" t="s">
        <v>491</v>
      </c>
    </row>
    <row r="54" spans="1:7" x14ac:dyDescent="0.25">
      <c r="A54" s="281"/>
      <c r="B54" t="s">
        <v>372</v>
      </c>
      <c r="C54" s="281"/>
      <c r="D54" t="s">
        <v>366</v>
      </c>
      <c r="F54" s="322"/>
      <c r="G54" t="s">
        <v>436</v>
      </c>
    </row>
    <row r="55" spans="1:7" x14ac:dyDescent="0.25">
      <c r="A55" s="281"/>
      <c r="B55" t="s">
        <v>373</v>
      </c>
      <c r="C55" s="281"/>
      <c r="D55" t="s">
        <v>376</v>
      </c>
      <c r="E55" t="s">
        <v>374</v>
      </c>
      <c r="F55" s="322"/>
      <c r="G55" t="s">
        <v>435</v>
      </c>
    </row>
    <row r="56" spans="1:7" x14ac:dyDescent="0.25">
      <c r="F56" s="322"/>
      <c r="G56" t="s">
        <v>426</v>
      </c>
    </row>
    <row r="57" spans="1:7" x14ac:dyDescent="0.25">
      <c r="F57" s="322"/>
      <c r="G57" t="s">
        <v>434</v>
      </c>
    </row>
    <row r="58" spans="1:7" x14ac:dyDescent="0.25">
      <c r="F58" s="322"/>
      <c r="G58" t="s">
        <v>427</v>
      </c>
    </row>
    <row r="59" spans="1:7" x14ac:dyDescent="0.25">
      <c r="F59" s="322"/>
      <c r="G59" t="s">
        <v>428</v>
      </c>
    </row>
    <row r="60" spans="1:7" x14ac:dyDescent="0.25">
      <c r="F60" s="322"/>
      <c r="G60" t="s">
        <v>437</v>
      </c>
    </row>
    <row r="61" spans="1:7" x14ac:dyDescent="0.25">
      <c r="F61" s="322"/>
      <c r="G61" t="s">
        <v>429</v>
      </c>
    </row>
    <row r="62" spans="1:7" x14ac:dyDescent="0.25">
      <c r="F62" s="322"/>
      <c r="G62" t="s">
        <v>430</v>
      </c>
    </row>
    <row r="63" spans="1:7" x14ac:dyDescent="0.25">
      <c r="F63" s="322"/>
      <c r="G63" t="s">
        <v>431</v>
      </c>
    </row>
    <row r="64" spans="1:7" x14ac:dyDescent="0.25">
      <c r="F64" s="322" t="s">
        <v>446</v>
      </c>
      <c r="G64" t="s">
        <v>460</v>
      </c>
    </row>
    <row r="65" spans="6:7" x14ac:dyDescent="0.25">
      <c r="F65" s="322"/>
      <c r="G65" t="s">
        <v>461</v>
      </c>
    </row>
    <row r="66" spans="6:7" x14ac:dyDescent="0.25">
      <c r="F66" s="322"/>
      <c r="G66" t="s">
        <v>462</v>
      </c>
    </row>
    <row r="67" spans="6:7" x14ac:dyDescent="0.25">
      <c r="F67" s="322"/>
      <c r="G67" t="s">
        <v>470</v>
      </c>
    </row>
    <row r="68" spans="6:7" x14ac:dyDescent="0.25">
      <c r="F68" s="322"/>
      <c r="G68" t="s">
        <v>469</v>
      </c>
    </row>
    <row r="69" spans="6:7" x14ac:dyDescent="0.25">
      <c r="F69" s="322"/>
      <c r="G69" t="s">
        <v>463</v>
      </c>
    </row>
    <row r="70" spans="6:7" x14ac:dyDescent="0.25">
      <c r="F70" s="322"/>
      <c r="G70" t="s">
        <v>464</v>
      </c>
    </row>
    <row r="71" spans="6:7" x14ac:dyDescent="0.25">
      <c r="F71" s="322"/>
      <c r="G71" t="s">
        <v>465</v>
      </c>
    </row>
    <row r="72" spans="6:7" x14ac:dyDescent="0.25">
      <c r="F72" s="322"/>
      <c r="G72" t="s">
        <v>439</v>
      </c>
    </row>
    <row r="73" spans="6:7" x14ac:dyDescent="0.25">
      <c r="F73" s="322"/>
      <c r="G73" t="s">
        <v>440</v>
      </c>
    </row>
    <row r="74" spans="6:7" x14ac:dyDescent="0.25">
      <c r="F74" s="322"/>
      <c r="G74" t="s">
        <v>466</v>
      </c>
    </row>
    <row r="75" spans="6:7" x14ac:dyDescent="0.25">
      <c r="F75" s="322"/>
      <c r="G75" t="s">
        <v>467</v>
      </c>
    </row>
    <row r="76" spans="6:7" x14ac:dyDescent="0.25">
      <c r="F76" s="322"/>
      <c r="G76" t="s">
        <v>468</v>
      </c>
    </row>
    <row r="77" spans="6:7" x14ac:dyDescent="0.25">
      <c r="F77" s="322"/>
      <c r="G77" t="s">
        <v>441</v>
      </c>
    </row>
    <row r="78" spans="6:7" x14ac:dyDescent="0.25">
      <c r="F78" s="322" t="s">
        <v>459</v>
      </c>
      <c r="G78" t="s">
        <v>453</v>
      </c>
    </row>
    <row r="79" spans="6:7" x14ac:dyDescent="0.25">
      <c r="F79" s="322"/>
      <c r="G79" t="s">
        <v>454</v>
      </c>
    </row>
    <row r="80" spans="6:7" x14ac:dyDescent="0.25">
      <c r="F80" s="322"/>
      <c r="G80" t="s">
        <v>455</v>
      </c>
    </row>
    <row r="81" spans="6:7" x14ac:dyDescent="0.25">
      <c r="F81" s="322"/>
      <c r="G81" t="s">
        <v>456</v>
      </c>
    </row>
    <row r="82" spans="6:7" x14ac:dyDescent="0.25">
      <c r="F82" s="322"/>
      <c r="G82" t="s">
        <v>457</v>
      </c>
    </row>
    <row r="83" spans="6:7" x14ac:dyDescent="0.25">
      <c r="F83" s="322"/>
      <c r="G83" t="s">
        <v>458</v>
      </c>
    </row>
  </sheetData>
  <mergeCells count="17">
    <mergeCell ref="I1:J1"/>
    <mergeCell ref="A1:E1"/>
    <mergeCell ref="A2:A24"/>
    <mergeCell ref="A25:A55"/>
    <mergeCell ref="F2:F38"/>
    <mergeCell ref="F39:F43"/>
    <mergeCell ref="F44:F63"/>
    <mergeCell ref="B25:C25"/>
    <mergeCell ref="B26:C26"/>
    <mergeCell ref="D25:E25"/>
    <mergeCell ref="D26:E26"/>
    <mergeCell ref="F64:F77"/>
    <mergeCell ref="F78:F83"/>
    <mergeCell ref="F1:G1"/>
    <mergeCell ref="C27:C35"/>
    <mergeCell ref="C36:C44"/>
    <mergeCell ref="C49:C55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0E14-A90F-4B63-8928-337471BDAEB5}">
  <dimension ref="A1:K69"/>
  <sheetViews>
    <sheetView topLeftCell="E1" workbookViewId="0">
      <selection activeCell="N1" sqref="N1"/>
    </sheetView>
  </sheetViews>
  <sheetFormatPr defaultRowHeight="13.8" x14ac:dyDescent="0.25"/>
  <cols>
    <col min="10" max="10" width="15.6640625" customWidth="1"/>
    <col min="11" max="11" width="8.88671875" style="12"/>
    <col min="14" max="15" width="9.109375" bestFit="1" customWidth="1"/>
  </cols>
  <sheetData>
    <row r="1" spans="1:11" x14ac:dyDescent="0.25">
      <c r="A1" t="s">
        <v>172</v>
      </c>
      <c r="B1" t="s">
        <v>173</v>
      </c>
      <c r="C1" t="s">
        <v>176</v>
      </c>
      <c r="E1" t="s">
        <v>126</v>
      </c>
      <c r="F1" t="s">
        <v>114</v>
      </c>
      <c r="G1" t="s">
        <v>125</v>
      </c>
      <c r="I1" s="215" t="s">
        <v>859</v>
      </c>
      <c r="K1" s="12" t="s">
        <v>92</v>
      </c>
    </row>
    <row r="2" spans="1:11" x14ac:dyDescent="0.25">
      <c r="A2" t="str" cm="1">
        <f t="array" ref="A2:A36">_xlfn.UNIQUE(all!D3:D1003)</f>
        <v>大理</v>
      </c>
      <c r="B2" t="str" cm="1">
        <f t="array" ref="B2:B37">_xlfn.UNIQUE(all!E3:E1003)</f>
        <v>昆明</v>
      </c>
      <c r="C2" t="str" cm="1">
        <f t="array" ref="C2:C50">_xlfn.UNIQUE(K:K)</f>
        <v>大理</v>
      </c>
      <c r="E2" t="str" cm="1">
        <f t="array" ref="E2:E25">_xlfn.UNIQUE(all!H3:H1003)</f>
        <v>CRH2A</v>
      </c>
      <c r="F2" t="str" cm="1">
        <f t="array" ref="F2:F9">_xlfn.UNIQUE(all!I3:I1003)</f>
        <v>二等</v>
      </c>
      <c r="G2" t="str" cm="1">
        <f t="array" ref="G2:G8">_xlfn.UNIQUE(all!G3:G1003)</f>
        <v>动车</v>
      </c>
      <c r="K2" s="12" t="s">
        <v>4</v>
      </c>
    </row>
    <row r="3" spans="1:11" x14ac:dyDescent="0.25">
      <c r="A3" t="str">
        <v>东莞</v>
      </c>
      <c r="B3" t="str">
        <v>厦门</v>
      </c>
      <c r="C3" t="str">
        <v>东莞</v>
      </c>
      <c r="E3" t="str">
        <v>CRH1A-A</v>
      </c>
      <c r="F3" t="str">
        <v>硬卧</v>
      </c>
      <c r="G3" t="str">
        <v>高铁</v>
      </c>
      <c r="K3" s="12" t="s">
        <v>10</v>
      </c>
    </row>
    <row r="4" spans="1:11" x14ac:dyDescent="0.25">
      <c r="A4" t="str">
        <v>厦门北</v>
      </c>
      <c r="B4" t="str">
        <v>东莞</v>
      </c>
      <c r="C4" t="str">
        <v>厦门北</v>
      </c>
      <c r="E4" t="str">
        <v>CRH2C</v>
      </c>
      <c r="F4" t="str">
        <v>无座</v>
      </c>
      <c r="G4" t="str">
        <v>城际</v>
      </c>
      <c r="K4" s="12" t="s">
        <v>522</v>
      </c>
    </row>
    <row r="5" spans="1:11" x14ac:dyDescent="0.25">
      <c r="A5" t="str">
        <v>东莞南</v>
      </c>
      <c r="B5" t="str">
        <v>东莞南</v>
      </c>
      <c r="C5" t="str">
        <v>东莞南</v>
      </c>
      <c r="E5" t="str">
        <v>CRH1B</v>
      </c>
      <c r="F5" t="str">
        <v>硬座</v>
      </c>
      <c r="G5" t="str">
        <v>快速</v>
      </c>
      <c r="K5" s="12" t="s">
        <v>15</v>
      </c>
    </row>
    <row r="6" spans="1:11" x14ac:dyDescent="0.25">
      <c r="A6" t="str">
        <v>深圳北</v>
      </c>
      <c r="B6" t="str">
        <v>深圳北</v>
      </c>
      <c r="C6" t="str">
        <v>深圳北</v>
      </c>
      <c r="E6" t="str">
        <v>CRH2C-2</v>
      </c>
      <c r="F6" t="str">
        <v>软卧</v>
      </c>
      <c r="G6" t="str">
        <v>特快</v>
      </c>
      <c r="K6" s="12" t="s">
        <v>23</v>
      </c>
    </row>
    <row r="7" spans="1:11" x14ac:dyDescent="0.25">
      <c r="A7" t="str">
        <v>无锡新区</v>
      </c>
      <c r="B7" t="str">
        <v>惠东南</v>
      </c>
      <c r="C7" t="str">
        <v>无锡新区</v>
      </c>
      <c r="E7" t="str">
        <v>CRH380B</v>
      </c>
      <c r="F7" t="str">
        <v>软座</v>
      </c>
      <c r="G7" t="str">
        <v>普客</v>
      </c>
      <c r="K7" s="12" t="s">
        <v>25</v>
      </c>
    </row>
    <row r="8" spans="1:11" x14ac:dyDescent="0.25">
      <c r="A8" t="str">
        <v>苏州</v>
      </c>
      <c r="B8" t="str">
        <v>苏州</v>
      </c>
      <c r="C8" t="str">
        <v>苏州</v>
      </c>
      <c r="E8" t="str">
        <v>CRH380BL</v>
      </c>
      <c r="F8" t="str">
        <v>一等</v>
      </c>
      <c r="G8">
        <v>0</v>
      </c>
      <c r="K8" s="12" t="s">
        <v>35</v>
      </c>
    </row>
    <row r="9" spans="1:11" x14ac:dyDescent="0.25">
      <c r="A9" t="str">
        <v>无锡</v>
      </c>
      <c r="B9" t="str">
        <v>阳澄湖</v>
      </c>
      <c r="C9" t="str">
        <v>无锡</v>
      </c>
      <c r="E9" t="str">
        <v>CRH1A</v>
      </c>
      <c r="F9">
        <v>0</v>
      </c>
      <c r="K9" s="12" t="s">
        <v>28</v>
      </c>
    </row>
    <row r="10" spans="1:11" x14ac:dyDescent="0.25">
      <c r="A10" t="str">
        <v>长沙南</v>
      </c>
      <c r="B10" t="str">
        <v>无锡</v>
      </c>
      <c r="C10" t="str">
        <v>长沙南</v>
      </c>
      <c r="E10" t="str">
        <v>25G</v>
      </c>
      <c r="K10" s="12" t="s">
        <v>39</v>
      </c>
    </row>
    <row r="11" spans="1:11" x14ac:dyDescent="0.25">
      <c r="A11" t="str">
        <v>广州</v>
      </c>
      <c r="B11" t="str">
        <v>南京</v>
      </c>
      <c r="C11" t="str">
        <v>广州</v>
      </c>
      <c r="E11" t="str">
        <v>CR300AF</v>
      </c>
      <c r="K11" s="12" t="s">
        <v>47</v>
      </c>
    </row>
    <row r="12" spans="1:11" x14ac:dyDescent="0.25">
      <c r="A12" t="str">
        <v>阳江</v>
      </c>
      <c r="B12" t="str">
        <v>长沙南</v>
      </c>
      <c r="C12" t="str">
        <v>阳江</v>
      </c>
      <c r="E12" t="str">
        <v>CR400AF-A</v>
      </c>
      <c r="K12" s="12" t="s">
        <v>49</v>
      </c>
    </row>
    <row r="13" spans="1:11" x14ac:dyDescent="0.25">
      <c r="A13" t="str">
        <v>江门</v>
      </c>
      <c r="B13" t="str">
        <v>广州</v>
      </c>
      <c r="C13" t="str">
        <v>江门</v>
      </c>
      <c r="E13" t="str">
        <v>25K</v>
      </c>
      <c r="K13" s="12" t="s">
        <v>42</v>
      </c>
    </row>
    <row r="14" spans="1:11" x14ac:dyDescent="0.25">
      <c r="A14" t="str">
        <v>阳春</v>
      </c>
      <c r="B14" t="str">
        <v>阳春</v>
      </c>
      <c r="C14" t="str">
        <v>阳春</v>
      </c>
      <c r="E14" t="str">
        <v>CRH5A</v>
      </c>
      <c r="K14" s="12" t="s">
        <v>60</v>
      </c>
    </row>
    <row r="15" spans="1:11" x14ac:dyDescent="0.25">
      <c r="A15" t="str">
        <v>茂名</v>
      </c>
      <c r="B15" t="str">
        <v>江门</v>
      </c>
      <c r="C15" t="str">
        <v>茂名</v>
      </c>
      <c r="E15" t="str">
        <v>CRH1E</v>
      </c>
      <c r="K15" s="12" t="s">
        <v>63</v>
      </c>
    </row>
    <row r="16" spans="1:11" x14ac:dyDescent="0.25">
      <c r="A16" t="str">
        <v>恩平</v>
      </c>
      <c r="B16" t="str">
        <v>虎门</v>
      </c>
      <c r="C16" t="str">
        <v>恩平</v>
      </c>
      <c r="E16" t="str">
        <v>CRH6A</v>
      </c>
      <c r="K16" s="12" t="s">
        <v>69</v>
      </c>
    </row>
    <row r="17" spans="1:11" x14ac:dyDescent="0.25">
      <c r="A17" t="str">
        <v>亚布力西</v>
      </c>
      <c r="B17" t="str">
        <v>茂名</v>
      </c>
      <c r="C17" t="str">
        <v>亚布力西</v>
      </c>
      <c r="E17" t="str">
        <v>CRH380AL</v>
      </c>
      <c r="K17" s="12" t="s">
        <v>71</v>
      </c>
    </row>
    <row r="18" spans="1:11" x14ac:dyDescent="0.25">
      <c r="A18" t="str">
        <v>哈尔滨</v>
      </c>
      <c r="B18" t="str">
        <v>恩平</v>
      </c>
      <c r="C18" t="str">
        <v>哈尔滨</v>
      </c>
      <c r="E18" t="str">
        <v>25Z</v>
      </c>
      <c r="K18" s="12" t="s">
        <v>74</v>
      </c>
    </row>
    <row r="19" spans="1:11" x14ac:dyDescent="0.25">
      <c r="A19" t="str">
        <v>齐齐哈尔</v>
      </c>
      <c r="B19" t="str">
        <v>广州南</v>
      </c>
      <c r="C19" t="str">
        <v>齐齐哈尔</v>
      </c>
      <c r="E19" t="str">
        <v>CR400BF-Z</v>
      </c>
      <c r="K19" s="12" t="s">
        <v>77</v>
      </c>
    </row>
    <row r="20" spans="1:11" x14ac:dyDescent="0.25">
      <c r="A20" t="str">
        <v>加格达奇</v>
      </c>
      <c r="B20" t="str">
        <v>哈尔滨</v>
      </c>
      <c r="C20" t="str">
        <v>加格达奇</v>
      </c>
      <c r="E20" t="str">
        <v>CR400AF</v>
      </c>
      <c r="K20" s="12" t="s">
        <v>83</v>
      </c>
    </row>
    <row r="21" spans="1:11" x14ac:dyDescent="0.25">
      <c r="A21" t="str">
        <v>满归</v>
      </c>
      <c r="B21" t="str">
        <v>齐齐哈尔</v>
      </c>
      <c r="C21" t="str">
        <v>满归</v>
      </c>
      <c r="E21" t="str">
        <v>CRH380D</v>
      </c>
      <c r="K21" s="12" t="s">
        <v>87</v>
      </c>
    </row>
    <row r="22" spans="1:11" x14ac:dyDescent="0.25">
      <c r="A22" t="str">
        <v>海拉尔</v>
      </c>
      <c r="B22" t="str">
        <v>加格达奇</v>
      </c>
      <c r="C22" t="str">
        <v>海拉尔</v>
      </c>
      <c r="E22" t="str">
        <v>CRH3C</v>
      </c>
      <c r="K22" s="12" t="s">
        <v>266</v>
      </c>
    </row>
    <row r="23" spans="1:11" x14ac:dyDescent="0.25">
      <c r="A23" t="str">
        <v>翠亨</v>
      </c>
      <c r="B23" t="str">
        <v>漠河</v>
      </c>
      <c r="C23" t="str">
        <v>翠亨</v>
      </c>
      <c r="E23" t="str">
        <v>CR400BF</v>
      </c>
      <c r="K23" s="12" t="s">
        <v>66</v>
      </c>
    </row>
    <row r="24" spans="1:11" x14ac:dyDescent="0.25">
      <c r="A24" t="str">
        <v>广州南</v>
      </c>
      <c r="B24" t="str">
        <v>根河</v>
      </c>
      <c r="C24" t="str">
        <v>广州南</v>
      </c>
      <c r="E24" t="str">
        <v>CRH5G</v>
      </c>
      <c r="K24" s="12" t="s">
        <v>283</v>
      </c>
    </row>
    <row r="25" spans="1:11" x14ac:dyDescent="0.25">
      <c r="A25" t="str">
        <v>肇庆</v>
      </c>
      <c r="B25" t="str">
        <v>满洲里</v>
      </c>
      <c r="C25" t="str">
        <v>肇庆</v>
      </c>
      <c r="E25">
        <v>0</v>
      </c>
      <c r="K25" s="12" t="s">
        <v>57</v>
      </c>
    </row>
    <row r="26" spans="1:11" x14ac:dyDescent="0.25">
      <c r="A26" t="str">
        <v>虎门</v>
      </c>
      <c r="B26" t="str">
        <v>肇庆</v>
      </c>
      <c r="C26" t="str">
        <v>虎门</v>
      </c>
      <c r="K26" s="12" t="s">
        <v>604</v>
      </c>
    </row>
    <row r="27" spans="1:11" x14ac:dyDescent="0.25">
      <c r="A27" t="str">
        <v>深圳东</v>
      </c>
      <c r="B27" t="str">
        <v>容桂</v>
      </c>
      <c r="C27" t="str">
        <v>深圳东</v>
      </c>
      <c r="K27" s="12" t="s">
        <v>574</v>
      </c>
    </row>
    <row r="28" spans="1:11" x14ac:dyDescent="0.25">
      <c r="A28" t="str">
        <v>贵阳北</v>
      </c>
      <c r="B28" t="str">
        <v>深圳东</v>
      </c>
      <c r="C28" t="str">
        <v>贵阳北</v>
      </c>
      <c r="K28" s="12" t="s">
        <v>590</v>
      </c>
    </row>
    <row r="29" spans="1:11" x14ac:dyDescent="0.25">
      <c r="A29" t="str">
        <v>都匀东</v>
      </c>
      <c r="B29" t="str">
        <v>贵阳北</v>
      </c>
      <c r="C29" t="str">
        <v>都匀东</v>
      </c>
      <c r="K29" s="12" t="s">
        <v>672</v>
      </c>
    </row>
    <row r="30" spans="1:11" x14ac:dyDescent="0.25">
      <c r="A30" t="str">
        <v>深圳</v>
      </c>
      <c r="B30" t="str">
        <v>荔波</v>
      </c>
      <c r="C30" t="str">
        <v>深圳</v>
      </c>
      <c r="K30" s="12" t="s">
        <v>673</v>
      </c>
    </row>
    <row r="31" spans="1:11" x14ac:dyDescent="0.25">
      <c r="A31" t="str">
        <v>清远</v>
      </c>
      <c r="B31" t="str">
        <v>盘州</v>
      </c>
      <c r="C31" t="str">
        <v>清远</v>
      </c>
      <c r="K31" s="12" t="s">
        <v>648</v>
      </c>
    </row>
    <row r="32" spans="1:11" x14ac:dyDescent="0.25">
      <c r="A32" t="str">
        <v>香港西九龙</v>
      </c>
      <c r="B32" t="str">
        <v>韶关东</v>
      </c>
      <c r="C32" t="str">
        <v>香港西九龙</v>
      </c>
      <c r="K32" s="12" t="s">
        <v>653</v>
      </c>
    </row>
    <row r="33" spans="1:11" x14ac:dyDescent="0.25">
      <c r="A33" t="str">
        <v>万宁</v>
      </c>
      <c r="B33" t="str">
        <v>香港西九龙</v>
      </c>
      <c r="C33" t="str">
        <v>万宁</v>
      </c>
      <c r="K33" s="12" t="s">
        <v>660</v>
      </c>
    </row>
    <row r="34" spans="1:11" x14ac:dyDescent="0.25">
      <c r="A34" t="str">
        <v>长白山</v>
      </c>
      <c r="B34" t="str">
        <v>海口东</v>
      </c>
      <c r="C34" t="str">
        <v>长白山</v>
      </c>
      <c r="K34" s="12" t="s">
        <v>662</v>
      </c>
    </row>
    <row r="35" spans="1:11" x14ac:dyDescent="0.25">
      <c r="A35" t="str">
        <v>长春</v>
      </c>
      <c r="B35" t="str">
        <v>长春</v>
      </c>
      <c r="C35" t="str">
        <v>长春</v>
      </c>
      <c r="K35" s="12" t="s">
        <v>94</v>
      </c>
    </row>
    <row r="36" spans="1:11" x14ac:dyDescent="0.25">
      <c r="A36">
        <v>0</v>
      </c>
      <c r="B36" t="str">
        <v>龙嘉</v>
      </c>
      <c r="C36" t="str">
        <v>昆明</v>
      </c>
      <c r="K36" s="12" t="s">
        <v>6</v>
      </c>
    </row>
    <row r="37" spans="1:11" x14ac:dyDescent="0.25">
      <c r="B37">
        <v>0</v>
      </c>
      <c r="C37" t="str">
        <v>厦门</v>
      </c>
      <c r="K37" s="12" t="s">
        <v>4</v>
      </c>
    </row>
    <row r="38" spans="1:11" x14ac:dyDescent="0.25">
      <c r="C38" t="str">
        <v>惠东南</v>
      </c>
      <c r="K38" s="12" t="s">
        <v>522</v>
      </c>
    </row>
    <row r="39" spans="1:11" x14ac:dyDescent="0.25">
      <c r="C39" t="str">
        <v>阳澄湖</v>
      </c>
      <c r="K39" s="12" t="s">
        <v>15</v>
      </c>
    </row>
    <row r="40" spans="1:11" x14ac:dyDescent="0.25">
      <c r="C40" t="str">
        <v>南京</v>
      </c>
      <c r="K40" s="12" t="s">
        <v>523</v>
      </c>
    </row>
    <row r="41" spans="1:11" x14ac:dyDescent="0.25">
      <c r="C41" t="str">
        <v>漠河</v>
      </c>
      <c r="K41" s="12" t="s">
        <v>25</v>
      </c>
    </row>
    <row r="42" spans="1:11" x14ac:dyDescent="0.25">
      <c r="C42" t="str">
        <v>根河</v>
      </c>
      <c r="K42" s="12" t="s">
        <v>32</v>
      </c>
    </row>
    <row r="43" spans="1:11" x14ac:dyDescent="0.25">
      <c r="C43" t="str">
        <v>满洲里</v>
      </c>
      <c r="K43" s="12" t="s">
        <v>35</v>
      </c>
    </row>
    <row r="44" spans="1:11" x14ac:dyDescent="0.25">
      <c r="C44" t="str">
        <v>容桂</v>
      </c>
      <c r="K44" s="12" t="s">
        <v>37</v>
      </c>
    </row>
    <row r="45" spans="1:11" x14ac:dyDescent="0.25">
      <c r="C45" t="str">
        <v>荔波</v>
      </c>
      <c r="K45" s="12" t="s">
        <v>28</v>
      </c>
    </row>
    <row r="46" spans="1:11" x14ac:dyDescent="0.25">
      <c r="C46" t="str">
        <v>盘州</v>
      </c>
      <c r="K46" s="12" t="s">
        <v>39</v>
      </c>
    </row>
    <row r="47" spans="1:11" x14ac:dyDescent="0.25">
      <c r="C47" t="str">
        <v>韶关东</v>
      </c>
      <c r="K47" s="12" t="s">
        <v>42</v>
      </c>
    </row>
    <row r="48" spans="1:11" x14ac:dyDescent="0.25">
      <c r="C48" t="str">
        <v>海口东</v>
      </c>
      <c r="K48" s="12" t="s">
        <v>49</v>
      </c>
    </row>
    <row r="49" spans="3:11" x14ac:dyDescent="0.25">
      <c r="C49" t="str">
        <v>龙嘉</v>
      </c>
      <c r="K49" s="12" t="s">
        <v>57</v>
      </c>
    </row>
    <row r="50" spans="3:11" x14ac:dyDescent="0.25">
      <c r="C50">
        <v>0</v>
      </c>
      <c r="K50" s="12" t="s">
        <v>60</v>
      </c>
    </row>
    <row r="51" spans="3:11" x14ac:dyDescent="0.25">
      <c r="K51" s="12" t="s">
        <v>63</v>
      </c>
    </row>
    <row r="52" spans="3:11" x14ac:dyDescent="0.25">
      <c r="K52" s="12" t="s">
        <v>66</v>
      </c>
    </row>
    <row r="53" spans="3:11" x14ac:dyDescent="0.25">
      <c r="K53" s="12" t="s">
        <v>71</v>
      </c>
    </row>
    <row r="54" spans="3:11" x14ac:dyDescent="0.25">
      <c r="K54" s="12" t="s">
        <v>74</v>
      </c>
    </row>
    <row r="55" spans="3:11" x14ac:dyDescent="0.25">
      <c r="K55" s="12" t="s">
        <v>77</v>
      </c>
    </row>
    <row r="56" spans="3:11" x14ac:dyDescent="0.25">
      <c r="K56" s="12" t="s">
        <v>80</v>
      </c>
    </row>
    <row r="57" spans="3:11" x14ac:dyDescent="0.25">
      <c r="K57" s="12" t="s">
        <v>85</v>
      </c>
    </row>
    <row r="58" spans="3:11" x14ac:dyDescent="0.25">
      <c r="K58" s="12" t="s">
        <v>89</v>
      </c>
    </row>
    <row r="59" spans="3:11" x14ac:dyDescent="0.25">
      <c r="K59" s="12" t="s">
        <v>283</v>
      </c>
    </row>
    <row r="60" spans="3:11" x14ac:dyDescent="0.25">
      <c r="K60" s="12" t="s">
        <v>605</v>
      </c>
    </row>
    <row r="61" spans="3:11" x14ac:dyDescent="0.25">
      <c r="K61" s="12" t="s">
        <v>604</v>
      </c>
    </row>
    <row r="62" spans="3:11" x14ac:dyDescent="0.25">
      <c r="K62" s="12" t="s">
        <v>574</v>
      </c>
    </row>
    <row r="63" spans="3:11" x14ac:dyDescent="0.25">
      <c r="K63" s="12" t="s">
        <v>584</v>
      </c>
    </row>
    <row r="64" spans="3:11" x14ac:dyDescent="0.25">
      <c r="K64" s="12" t="s">
        <v>597</v>
      </c>
    </row>
    <row r="65" spans="11:11" x14ac:dyDescent="0.25">
      <c r="K65" s="12" t="s">
        <v>674</v>
      </c>
    </row>
    <row r="66" spans="11:11" x14ac:dyDescent="0.25">
      <c r="K66" s="12" t="s">
        <v>648</v>
      </c>
    </row>
    <row r="67" spans="11:11" x14ac:dyDescent="0.25">
      <c r="K67" s="12" t="s">
        <v>655</v>
      </c>
    </row>
    <row r="68" spans="11:11" x14ac:dyDescent="0.25">
      <c r="K68" s="12" t="s">
        <v>662</v>
      </c>
    </row>
    <row r="69" spans="11:11" x14ac:dyDescent="0.25">
      <c r="K69" s="12" t="s">
        <v>668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1E92-D1CD-4046-BAFF-18E8D8EA4AAA}">
  <dimension ref="A1:K33"/>
  <sheetViews>
    <sheetView workbookViewId="0">
      <selection activeCell="K12" sqref="K12"/>
    </sheetView>
  </sheetViews>
  <sheetFormatPr defaultRowHeight="13.8" x14ac:dyDescent="0.25"/>
  <sheetData>
    <row r="1" spans="1:11" x14ac:dyDescent="0.25">
      <c r="A1" t="s">
        <v>512</v>
      </c>
      <c r="C1" t="s">
        <v>92</v>
      </c>
      <c r="D1" t="s">
        <v>94</v>
      </c>
      <c r="E1" t="s">
        <v>92</v>
      </c>
      <c r="I1" t="s">
        <v>188</v>
      </c>
      <c r="J1" t="s">
        <v>188</v>
      </c>
      <c r="K1" t="s">
        <v>188</v>
      </c>
    </row>
    <row r="2" spans="1:11" x14ac:dyDescent="0.25">
      <c r="A2" t="s">
        <v>513</v>
      </c>
      <c r="C2" t="s">
        <v>4</v>
      </c>
      <c r="D2" t="s">
        <v>6</v>
      </c>
      <c r="E2" t="s">
        <v>4</v>
      </c>
      <c r="I2" t="s">
        <v>187</v>
      </c>
      <c r="J2" t="s">
        <v>187</v>
      </c>
      <c r="K2" t="s">
        <v>187</v>
      </c>
    </row>
    <row r="3" spans="1:11" x14ac:dyDescent="0.25">
      <c r="A3" t="s">
        <v>497</v>
      </c>
      <c r="C3" t="s">
        <v>10</v>
      </c>
      <c r="D3" t="s">
        <v>4</v>
      </c>
      <c r="E3" t="s">
        <v>10</v>
      </c>
      <c r="I3" t="s">
        <v>189</v>
      </c>
      <c r="J3" t="s">
        <v>189</v>
      </c>
      <c r="K3" t="s">
        <v>189</v>
      </c>
    </row>
    <row r="4" spans="1:11" x14ac:dyDescent="0.25">
      <c r="A4" t="s">
        <v>194</v>
      </c>
      <c r="C4" t="s">
        <v>522</v>
      </c>
      <c r="D4" t="s">
        <v>522</v>
      </c>
      <c r="E4" t="s">
        <v>522</v>
      </c>
      <c r="I4" t="s">
        <v>190</v>
      </c>
      <c r="J4" t="s">
        <v>190</v>
      </c>
      <c r="K4" t="s">
        <v>190</v>
      </c>
    </row>
    <row r="5" spans="1:11" x14ac:dyDescent="0.25">
      <c r="A5" t="s">
        <v>197</v>
      </c>
      <c r="C5" t="s">
        <v>15</v>
      </c>
      <c r="D5" t="s">
        <v>15</v>
      </c>
      <c r="E5" t="s">
        <v>15</v>
      </c>
      <c r="I5" t="s">
        <v>223</v>
      </c>
      <c r="J5" t="s">
        <v>223</v>
      </c>
      <c r="K5" t="s">
        <v>223</v>
      </c>
    </row>
    <row r="6" spans="1:11" x14ac:dyDescent="0.25">
      <c r="A6" t="s">
        <v>498</v>
      </c>
      <c r="C6" t="s">
        <v>23</v>
      </c>
      <c r="D6" t="s">
        <v>523</v>
      </c>
      <c r="E6" t="s">
        <v>23</v>
      </c>
      <c r="I6" t="s">
        <v>191</v>
      </c>
      <c r="J6" t="s">
        <v>191</v>
      </c>
      <c r="K6" t="s">
        <v>191</v>
      </c>
    </row>
    <row r="7" spans="1:11" x14ac:dyDescent="0.25">
      <c r="A7" t="s">
        <v>286</v>
      </c>
      <c r="C7" t="s">
        <v>25</v>
      </c>
      <c r="D7" t="s">
        <v>25</v>
      </c>
      <c r="E7" t="s">
        <v>25</v>
      </c>
      <c r="I7" t="s">
        <v>192</v>
      </c>
      <c r="J7" t="s">
        <v>192</v>
      </c>
      <c r="K7" t="s">
        <v>192</v>
      </c>
    </row>
    <row r="8" spans="1:11" x14ac:dyDescent="0.25">
      <c r="A8" t="s">
        <v>195</v>
      </c>
      <c r="C8" t="s">
        <v>35</v>
      </c>
      <c r="D8" t="s">
        <v>32</v>
      </c>
      <c r="E8" t="s">
        <v>35</v>
      </c>
      <c r="I8" t="s">
        <v>193</v>
      </c>
      <c r="J8" t="s">
        <v>193</v>
      </c>
      <c r="K8" t="s">
        <v>193</v>
      </c>
    </row>
    <row r="9" spans="1:11" x14ac:dyDescent="0.25">
      <c r="A9" t="s">
        <v>196</v>
      </c>
      <c r="C9" t="s">
        <v>28</v>
      </c>
      <c r="D9" t="s">
        <v>35</v>
      </c>
      <c r="E9" t="s">
        <v>28</v>
      </c>
      <c r="I9" t="s">
        <v>195</v>
      </c>
    </row>
    <row r="10" spans="1:11" x14ac:dyDescent="0.25">
      <c r="A10" t="s">
        <v>193</v>
      </c>
      <c r="C10" t="s">
        <v>39</v>
      </c>
      <c r="D10" t="s">
        <v>37</v>
      </c>
      <c r="E10" t="s">
        <v>39</v>
      </c>
      <c r="I10" t="s">
        <v>196</v>
      </c>
      <c r="J10" t="s">
        <v>195</v>
      </c>
      <c r="K10" t="s">
        <v>195</v>
      </c>
    </row>
    <row r="11" spans="1:11" x14ac:dyDescent="0.25">
      <c r="A11" t="s">
        <v>187</v>
      </c>
      <c r="C11" t="s">
        <v>47</v>
      </c>
      <c r="D11" t="s">
        <v>28</v>
      </c>
      <c r="E11" t="s">
        <v>47</v>
      </c>
      <c r="I11" t="s">
        <v>198</v>
      </c>
      <c r="J11" t="s">
        <v>196</v>
      </c>
      <c r="K11" t="s">
        <v>196</v>
      </c>
    </row>
    <row r="12" spans="1:11" x14ac:dyDescent="0.25">
      <c r="A12" t="s">
        <v>190</v>
      </c>
      <c r="C12" t="s">
        <v>49</v>
      </c>
      <c r="D12" t="s">
        <v>39</v>
      </c>
      <c r="E12" t="s">
        <v>49</v>
      </c>
      <c r="I12" t="s">
        <v>199</v>
      </c>
    </row>
    <row r="13" spans="1:11" x14ac:dyDescent="0.25">
      <c r="A13" t="s">
        <v>199</v>
      </c>
      <c r="C13" t="s">
        <v>42</v>
      </c>
      <c r="D13" t="s">
        <v>42</v>
      </c>
      <c r="E13" t="s">
        <v>42</v>
      </c>
      <c r="I13" t="s">
        <v>270</v>
      </c>
      <c r="J13" t="s">
        <v>198</v>
      </c>
      <c r="K13" t="s">
        <v>198</v>
      </c>
    </row>
    <row r="14" spans="1:11" x14ac:dyDescent="0.25">
      <c r="A14" t="s">
        <v>188</v>
      </c>
      <c r="C14" t="s">
        <v>60</v>
      </c>
      <c r="D14" t="s">
        <v>49</v>
      </c>
      <c r="E14" t="s">
        <v>60</v>
      </c>
      <c r="I14" t="s">
        <v>279</v>
      </c>
      <c r="J14" t="s">
        <v>199</v>
      </c>
      <c r="K14" t="s">
        <v>199</v>
      </c>
    </row>
    <row r="15" spans="1:11" x14ac:dyDescent="0.25">
      <c r="A15" t="s">
        <v>189</v>
      </c>
      <c r="C15" t="s">
        <v>63</v>
      </c>
      <c r="D15" t="s">
        <v>57</v>
      </c>
      <c r="E15" t="s">
        <v>63</v>
      </c>
      <c r="I15" t="s">
        <v>603</v>
      </c>
      <c r="J15" t="s">
        <v>270</v>
      </c>
      <c r="K15" t="s">
        <v>270</v>
      </c>
    </row>
    <row r="16" spans="1:11" x14ac:dyDescent="0.25">
      <c r="A16" t="s">
        <v>223</v>
      </c>
      <c r="C16" t="s">
        <v>69</v>
      </c>
      <c r="D16" t="s">
        <v>60</v>
      </c>
      <c r="E16" t="s">
        <v>69</v>
      </c>
      <c r="I16" t="s">
        <v>579</v>
      </c>
      <c r="J16" t="s">
        <v>279</v>
      </c>
      <c r="K16" t="s">
        <v>279</v>
      </c>
    </row>
    <row r="17" spans="1:11" x14ac:dyDescent="0.25">
      <c r="A17" t="s">
        <v>279</v>
      </c>
      <c r="C17" t="s">
        <v>71</v>
      </c>
      <c r="D17" t="s">
        <v>63</v>
      </c>
      <c r="E17" t="s">
        <v>71</v>
      </c>
      <c r="I17" t="s">
        <v>587</v>
      </c>
    </row>
    <row r="18" spans="1:11" x14ac:dyDescent="0.25">
      <c r="A18" t="s">
        <v>191</v>
      </c>
      <c r="C18" t="s">
        <v>74</v>
      </c>
      <c r="D18" t="s">
        <v>66</v>
      </c>
      <c r="E18" t="s">
        <v>74</v>
      </c>
      <c r="I18" t="s">
        <v>595</v>
      </c>
      <c r="J18" t="s">
        <v>603</v>
      </c>
      <c r="K18" t="s">
        <v>603</v>
      </c>
    </row>
    <row r="19" spans="1:11" x14ac:dyDescent="0.25">
      <c r="A19" t="s">
        <v>192</v>
      </c>
      <c r="C19" t="s">
        <v>77</v>
      </c>
      <c r="D19" t="s">
        <v>71</v>
      </c>
      <c r="E19" t="s">
        <v>77</v>
      </c>
      <c r="J19" t="s">
        <v>579</v>
      </c>
      <c r="K19" t="s">
        <v>579</v>
      </c>
    </row>
    <row r="20" spans="1:11" x14ac:dyDescent="0.25">
      <c r="A20" t="s">
        <v>198</v>
      </c>
      <c r="C20" t="s">
        <v>83</v>
      </c>
      <c r="D20" t="s">
        <v>74</v>
      </c>
      <c r="E20" t="s">
        <v>83</v>
      </c>
      <c r="J20" t="s">
        <v>587</v>
      </c>
      <c r="K20" t="s">
        <v>587</v>
      </c>
    </row>
    <row r="21" spans="1:11" x14ac:dyDescent="0.25">
      <c r="A21" t="s">
        <v>270</v>
      </c>
      <c r="C21" t="s">
        <v>87</v>
      </c>
      <c r="D21" t="s">
        <v>77</v>
      </c>
      <c r="E21" t="s">
        <v>87</v>
      </c>
      <c r="J21" t="s">
        <v>595</v>
      </c>
      <c r="K21" t="s">
        <v>595</v>
      </c>
    </row>
    <row r="22" spans="1:11" x14ac:dyDescent="0.25">
      <c r="C22" t="s">
        <v>266</v>
      </c>
      <c r="D22" t="s">
        <v>80</v>
      </c>
      <c r="E22" t="s">
        <v>266</v>
      </c>
      <c r="J22" t="s">
        <v>622</v>
      </c>
      <c r="K22" t="s">
        <v>622</v>
      </c>
    </row>
    <row r="23" spans="1:11" x14ac:dyDescent="0.25">
      <c r="C23" t="s">
        <v>66</v>
      </c>
      <c r="D23" t="s">
        <v>85</v>
      </c>
      <c r="E23" t="s">
        <v>66</v>
      </c>
      <c r="K23" t="s">
        <v>665</v>
      </c>
    </row>
    <row r="24" spans="1:11" x14ac:dyDescent="0.25">
      <c r="C24" t="s">
        <v>283</v>
      </c>
      <c r="D24" t="s">
        <v>89</v>
      </c>
      <c r="E24" t="s">
        <v>283</v>
      </c>
    </row>
    <row r="25" spans="1:11" x14ac:dyDescent="0.25">
      <c r="C25" t="s">
        <v>57</v>
      </c>
      <c r="D25" t="s">
        <v>283</v>
      </c>
      <c r="E25" t="s">
        <v>94</v>
      </c>
    </row>
    <row r="26" spans="1:11" x14ac:dyDescent="0.25">
      <c r="C26" t="s">
        <v>604</v>
      </c>
      <c r="D26" t="s">
        <v>605</v>
      </c>
      <c r="E26" t="s">
        <v>6</v>
      </c>
    </row>
    <row r="27" spans="1:11" x14ac:dyDescent="0.25">
      <c r="C27" t="s">
        <v>574</v>
      </c>
      <c r="D27" t="s">
        <v>604</v>
      </c>
      <c r="E27" t="s">
        <v>523</v>
      </c>
    </row>
    <row r="28" spans="1:11" x14ac:dyDescent="0.25">
      <c r="C28" t="s">
        <v>590</v>
      </c>
      <c r="D28" t="s">
        <v>574</v>
      </c>
      <c r="E28" t="s">
        <v>32</v>
      </c>
    </row>
    <row r="29" spans="1:11" x14ac:dyDescent="0.25">
      <c r="D29" t="s">
        <v>584</v>
      </c>
      <c r="E29" t="s">
        <v>37</v>
      </c>
    </row>
    <row r="30" spans="1:11" x14ac:dyDescent="0.25">
      <c r="D30" t="s">
        <v>597</v>
      </c>
      <c r="E30" t="s">
        <v>57</v>
      </c>
    </row>
    <row r="31" spans="1:11" x14ac:dyDescent="0.25">
      <c r="E31" t="s">
        <v>80</v>
      </c>
    </row>
    <row r="32" spans="1:11" x14ac:dyDescent="0.25">
      <c r="E32" t="s">
        <v>85</v>
      </c>
    </row>
    <row r="33" spans="5:5" x14ac:dyDescent="0.25">
      <c r="E33" t="s">
        <v>89</v>
      </c>
    </row>
  </sheetData>
  <sortState xmlns:xlrd2="http://schemas.microsoft.com/office/spreadsheetml/2017/richdata2" ref="E1:E33">
    <sortCondition ref="E1:E33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97ED-0792-4416-8C48-8AACD58AAA8A}">
  <dimension ref="A1:J165"/>
  <sheetViews>
    <sheetView workbookViewId="0">
      <selection activeCell="M17" sqref="M17"/>
    </sheetView>
  </sheetViews>
  <sheetFormatPr defaultRowHeight="13.8" x14ac:dyDescent="0.25"/>
  <cols>
    <col min="1" max="1" width="16.33203125" customWidth="1"/>
    <col min="4" max="4" width="6" customWidth="1"/>
  </cols>
  <sheetData>
    <row r="1" spans="1:10" x14ac:dyDescent="0.25">
      <c r="D1" t="s">
        <v>861</v>
      </c>
      <c r="J1" cm="1">
        <f t="array" ref="J1:J37">_xlfn.UNIQUE(A:A)</f>
        <v>0</v>
      </c>
    </row>
    <row r="2" spans="1:10" x14ac:dyDescent="0.25">
      <c r="A2" s="205" t="s">
        <v>524</v>
      </c>
      <c r="B2" s="205">
        <v>37</v>
      </c>
      <c r="D2">
        <v>9</v>
      </c>
      <c r="E2" t="s">
        <v>828</v>
      </c>
      <c r="F2">
        <v>3</v>
      </c>
      <c r="G2">
        <v>1497</v>
      </c>
      <c r="J2" t="str">
        <v>广九线</v>
      </c>
    </row>
    <row r="3" spans="1:10" x14ac:dyDescent="0.25">
      <c r="A3" s="205" t="s">
        <v>524</v>
      </c>
      <c r="B3" s="205">
        <v>56</v>
      </c>
      <c r="D3">
        <v>2</v>
      </c>
      <c r="E3" t="s">
        <v>524</v>
      </c>
      <c r="F3">
        <v>30</v>
      </c>
      <c r="G3">
        <v>1360</v>
      </c>
      <c r="J3" t="str">
        <v>莞塘深联络线</v>
      </c>
    </row>
    <row r="4" spans="1:10" x14ac:dyDescent="0.25">
      <c r="A4" s="205" t="s">
        <v>527</v>
      </c>
      <c r="B4" s="205">
        <v>2</v>
      </c>
      <c r="D4">
        <v>5</v>
      </c>
      <c r="E4" t="s">
        <v>532</v>
      </c>
      <c r="F4">
        <v>32</v>
      </c>
      <c r="G4">
        <v>1303</v>
      </c>
      <c r="J4" t="str">
        <v>杭深线</v>
      </c>
    </row>
    <row r="5" spans="1:10" x14ac:dyDescent="0.25">
      <c r="A5" s="205" t="s">
        <v>798</v>
      </c>
      <c r="B5" s="205">
        <v>498</v>
      </c>
      <c r="D5">
        <v>3</v>
      </c>
      <c r="E5" t="s">
        <v>798</v>
      </c>
      <c r="F5">
        <v>3</v>
      </c>
      <c r="G5">
        <v>1071</v>
      </c>
      <c r="J5" t="str">
        <v>沪宁高速线/京沪线</v>
      </c>
    </row>
    <row r="6" spans="1:10" x14ac:dyDescent="0.25">
      <c r="A6" s="205" t="s">
        <v>524</v>
      </c>
      <c r="B6" s="205">
        <v>71</v>
      </c>
      <c r="D6">
        <v>21</v>
      </c>
      <c r="E6" t="s">
        <v>818</v>
      </c>
      <c r="F6">
        <v>2</v>
      </c>
      <c r="G6">
        <v>889</v>
      </c>
      <c r="J6" t="str">
        <v>广深港高速线</v>
      </c>
    </row>
    <row r="7" spans="1:10" x14ac:dyDescent="0.25">
      <c r="A7" s="205" t="s">
        <v>827</v>
      </c>
      <c r="B7" s="205">
        <v>42</v>
      </c>
      <c r="D7">
        <v>16</v>
      </c>
      <c r="E7" t="s">
        <v>812</v>
      </c>
      <c r="F7">
        <v>2</v>
      </c>
      <c r="G7">
        <v>843</v>
      </c>
      <c r="J7" t="str">
        <v>广茂线</v>
      </c>
    </row>
    <row r="8" spans="1:10" x14ac:dyDescent="0.25">
      <c r="A8" s="205" t="s">
        <v>532</v>
      </c>
      <c r="B8" s="205">
        <v>16</v>
      </c>
      <c r="D8">
        <v>10</v>
      </c>
      <c r="E8" t="s">
        <v>803</v>
      </c>
      <c r="F8">
        <v>4</v>
      </c>
      <c r="G8">
        <v>607</v>
      </c>
      <c r="J8" t="str">
        <v>京广高铁</v>
      </c>
    </row>
    <row r="9" spans="1:10" x14ac:dyDescent="0.25">
      <c r="A9" s="205" t="s">
        <v>532</v>
      </c>
      <c r="B9" s="205">
        <v>16</v>
      </c>
      <c r="D9">
        <v>11</v>
      </c>
      <c r="E9" t="s">
        <v>826</v>
      </c>
      <c r="F9">
        <v>3</v>
      </c>
      <c r="G9">
        <v>413</v>
      </c>
      <c r="J9" t="str">
        <v>哈牡客专线</v>
      </c>
    </row>
    <row r="10" spans="1:10" x14ac:dyDescent="0.25">
      <c r="A10" s="205" t="s">
        <v>524</v>
      </c>
      <c r="B10" s="205">
        <v>37</v>
      </c>
      <c r="D10">
        <v>28</v>
      </c>
      <c r="E10" t="s">
        <v>529</v>
      </c>
      <c r="F10">
        <v>20</v>
      </c>
      <c r="G10">
        <v>380</v>
      </c>
      <c r="J10" t="str">
        <v>京沪线</v>
      </c>
    </row>
    <row r="11" spans="1:10" x14ac:dyDescent="0.25">
      <c r="A11" s="205" t="s">
        <v>532</v>
      </c>
      <c r="B11" s="205">
        <v>102</v>
      </c>
      <c r="D11">
        <v>18</v>
      </c>
      <c r="E11" t="s">
        <v>814</v>
      </c>
      <c r="F11">
        <v>2</v>
      </c>
      <c r="G11">
        <v>335</v>
      </c>
      <c r="J11" t="str">
        <v>楚大线</v>
      </c>
    </row>
    <row r="12" spans="1:10" x14ac:dyDescent="0.25">
      <c r="A12" s="205" t="s">
        <v>532</v>
      </c>
      <c r="B12" s="205">
        <v>16</v>
      </c>
      <c r="D12">
        <v>25</v>
      </c>
      <c r="E12" t="s">
        <v>825</v>
      </c>
      <c r="F12">
        <v>2</v>
      </c>
      <c r="G12">
        <v>299</v>
      </c>
      <c r="J12" t="str">
        <v>齐北线</v>
      </c>
    </row>
    <row r="13" spans="1:10" x14ac:dyDescent="0.25">
      <c r="A13" s="205" t="s">
        <v>803</v>
      </c>
      <c r="B13" s="205">
        <v>246</v>
      </c>
      <c r="D13">
        <v>22</v>
      </c>
      <c r="E13" t="s">
        <v>819</v>
      </c>
      <c r="F13">
        <v>1</v>
      </c>
      <c r="G13">
        <v>251</v>
      </c>
      <c r="J13" t="str">
        <v>深湛线江湛段</v>
      </c>
    </row>
    <row r="14" spans="1:10" x14ac:dyDescent="0.25">
      <c r="A14" s="205" t="s">
        <v>829</v>
      </c>
      <c r="B14" s="205">
        <v>707</v>
      </c>
      <c r="D14">
        <v>19</v>
      </c>
      <c r="E14" t="s">
        <v>815</v>
      </c>
      <c r="F14">
        <v>4</v>
      </c>
      <c r="G14">
        <v>210</v>
      </c>
      <c r="J14" t="str">
        <v>沪宁高速线</v>
      </c>
    </row>
    <row r="15" spans="1:10" x14ac:dyDescent="0.25">
      <c r="A15" s="205" t="s">
        <v>798</v>
      </c>
      <c r="B15" s="205">
        <v>88</v>
      </c>
      <c r="D15">
        <v>13</v>
      </c>
      <c r="E15" t="s">
        <v>807</v>
      </c>
      <c r="F15">
        <v>1</v>
      </c>
      <c r="G15">
        <v>204</v>
      </c>
      <c r="J15" t="str">
        <v>江门线</v>
      </c>
    </row>
    <row r="16" spans="1:10" x14ac:dyDescent="0.25">
      <c r="A16" s="205" t="s">
        <v>807</v>
      </c>
      <c r="B16" s="205">
        <v>204</v>
      </c>
      <c r="D16">
        <v>34</v>
      </c>
      <c r="E16" t="s">
        <v>853</v>
      </c>
      <c r="F16">
        <v>1</v>
      </c>
      <c r="G16">
        <v>194</v>
      </c>
      <c r="J16" t="str">
        <v>哈齐客专线</v>
      </c>
    </row>
    <row r="17" spans="1:10" x14ac:dyDescent="0.25">
      <c r="A17" s="205" t="s">
        <v>801</v>
      </c>
      <c r="B17" s="205">
        <v>83</v>
      </c>
      <c r="D17">
        <v>17</v>
      </c>
      <c r="E17" t="s">
        <v>813</v>
      </c>
      <c r="F17">
        <v>1</v>
      </c>
      <c r="G17">
        <v>179</v>
      </c>
      <c r="J17" t="str">
        <v>富西线</v>
      </c>
    </row>
    <row r="18" spans="1:10" x14ac:dyDescent="0.25">
      <c r="A18" s="205" t="s">
        <v>795</v>
      </c>
      <c r="B18" s="205">
        <v>175</v>
      </c>
      <c r="D18">
        <v>1</v>
      </c>
      <c r="E18" t="s">
        <v>795</v>
      </c>
      <c r="F18">
        <v>1</v>
      </c>
      <c r="G18">
        <v>175</v>
      </c>
      <c r="J18" t="str">
        <v>牙林线</v>
      </c>
    </row>
    <row r="19" spans="1:10" x14ac:dyDescent="0.25">
      <c r="A19" s="205" t="s">
        <v>810</v>
      </c>
      <c r="B19" s="205">
        <v>63</v>
      </c>
      <c r="D19">
        <v>36</v>
      </c>
      <c r="E19" t="s">
        <v>858</v>
      </c>
      <c r="F19">
        <v>1</v>
      </c>
      <c r="G19">
        <v>175</v>
      </c>
      <c r="J19" t="str">
        <v>滨洲线</v>
      </c>
    </row>
    <row r="20" spans="1:10" x14ac:dyDescent="0.25">
      <c r="A20" s="205" t="s">
        <v>826</v>
      </c>
      <c r="B20" s="205">
        <v>148</v>
      </c>
      <c r="D20">
        <v>23</v>
      </c>
      <c r="E20" t="s">
        <v>822</v>
      </c>
      <c r="F20">
        <v>1</v>
      </c>
      <c r="G20">
        <v>169</v>
      </c>
      <c r="J20" t="str">
        <v>广珠城际线</v>
      </c>
    </row>
    <row r="21" spans="1:10" x14ac:dyDescent="0.25">
      <c r="A21" s="205" t="s">
        <v>532</v>
      </c>
      <c r="B21" s="205">
        <v>16</v>
      </c>
      <c r="D21">
        <v>8</v>
      </c>
      <c r="E21" t="s">
        <v>801</v>
      </c>
      <c r="F21">
        <v>2</v>
      </c>
      <c r="G21">
        <v>147</v>
      </c>
      <c r="J21" t="str">
        <v>渝贵线</v>
      </c>
    </row>
    <row r="22" spans="1:10" x14ac:dyDescent="0.25">
      <c r="A22" s="205" t="s">
        <v>800</v>
      </c>
      <c r="B22" s="205">
        <v>29</v>
      </c>
      <c r="D22">
        <v>14</v>
      </c>
      <c r="E22" t="s">
        <v>808</v>
      </c>
      <c r="F22">
        <v>2</v>
      </c>
      <c r="G22">
        <v>136</v>
      </c>
      <c r="J22" t="str">
        <v>贵广客专线</v>
      </c>
    </row>
    <row r="23" spans="1:10" x14ac:dyDescent="0.25">
      <c r="A23" s="205" t="s">
        <v>524</v>
      </c>
      <c r="B23" s="205">
        <v>37</v>
      </c>
      <c r="D23">
        <v>26</v>
      </c>
      <c r="E23" t="s">
        <v>833</v>
      </c>
      <c r="F23">
        <v>1</v>
      </c>
      <c r="G23">
        <v>121</v>
      </c>
      <c r="J23" t="str">
        <v>沪昆高速线</v>
      </c>
    </row>
    <row r="24" spans="1:10" x14ac:dyDescent="0.25">
      <c r="A24" s="205" t="s">
        <v>804</v>
      </c>
      <c r="B24" s="205">
        <v>30</v>
      </c>
      <c r="D24">
        <v>24</v>
      </c>
      <c r="E24" t="s">
        <v>823</v>
      </c>
      <c r="F24">
        <v>1</v>
      </c>
      <c r="G24">
        <v>99</v>
      </c>
      <c r="J24" t="str">
        <v>海南环岛高铁线东段</v>
      </c>
    </row>
    <row r="25" spans="1:10" x14ac:dyDescent="0.25">
      <c r="A25" s="205" t="s">
        <v>532</v>
      </c>
      <c r="B25" s="205">
        <v>16</v>
      </c>
      <c r="D25">
        <v>6</v>
      </c>
      <c r="E25" t="s">
        <v>800</v>
      </c>
      <c r="F25">
        <v>3</v>
      </c>
      <c r="G25">
        <v>81</v>
      </c>
      <c r="J25" t="str">
        <v>沈佳高铁白敦段</v>
      </c>
    </row>
    <row r="26" spans="1:10" x14ac:dyDescent="0.25">
      <c r="A26" s="205" t="s">
        <v>532</v>
      </c>
      <c r="B26" s="205">
        <v>52</v>
      </c>
      <c r="D26">
        <v>29</v>
      </c>
      <c r="E26" t="s">
        <v>842</v>
      </c>
      <c r="F26">
        <v>3</v>
      </c>
      <c r="G26">
        <v>72</v>
      </c>
      <c r="J26" t="str">
        <v>长珲城际线</v>
      </c>
    </row>
    <row r="27" spans="1:10" x14ac:dyDescent="0.25">
      <c r="A27" s="205" t="s">
        <v>826</v>
      </c>
      <c r="B27" s="205">
        <v>180</v>
      </c>
      <c r="D27">
        <v>31</v>
      </c>
      <c r="E27" t="s">
        <v>846</v>
      </c>
      <c r="F27">
        <v>1</v>
      </c>
      <c r="G27">
        <v>70</v>
      </c>
      <c r="J27" t="str">
        <v>广昆线广温段</v>
      </c>
    </row>
    <row r="28" spans="1:10" x14ac:dyDescent="0.25">
      <c r="A28" s="205" t="s">
        <v>800</v>
      </c>
      <c r="B28" s="205">
        <v>25</v>
      </c>
      <c r="D28">
        <v>15</v>
      </c>
      <c r="E28" t="s">
        <v>810</v>
      </c>
      <c r="F28">
        <v>1</v>
      </c>
      <c r="G28">
        <v>63</v>
      </c>
      <c r="J28" t="str">
        <v>平湖联络线</v>
      </c>
    </row>
    <row r="29" spans="1:10" x14ac:dyDescent="0.25">
      <c r="A29" s="205" t="s">
        <v>524</v>
      </c>
      <c r="B29" s="205">
        <v>37</v>
      </c>
      <c r="D29">
        <v>12</v>
      </c>
      <c r="E29" t="s">
        <v>804</v>
      </c>
      <c r="F29">
        <v>2</v>
      </c>
      <c r="G29">
        <v>60</v>
      </c>
      <c r="J29" t="str">
        <v>京港高铁赣深段</v>
      </c>
    </row>
    <row r="30" spans="1:10" x14ac:dyDescent="0.25">
      <c r="A30" s="205" t="s">
        <v>524</v>
      </c>
      <c r="B30" s="205">
        <v>37</v>
      </c>
      <c r="D30">
        <v>4</v>
      </c>
      <c r="E30" t="s">
        <v>527</v>
      </c>
      <c r="F30">
        <v>22</v>
      </c>
      <c r="G30">
        <v>44</v>
      </c>
      <c r="J30" t="str">
        <v>沪昆线</v>
      </c>
    </row>
    <row r="31" spans="1:10" x14ac:dyDescent="0.25">
      <c r="A31" s="205" t="s">
        <v>524</v>
      </c>
      <c r="B31" s="205">
        <v>37</v>
      </c>
      <c r="D31">
        <v>7</v>
      </c>
      <c r="E31" t="s">
        <v>827</v>
      </c>
      <c r="F31">
        <v>1</v>
      </c>
      <c r="G31">
        <v>42</v>
      </c>
      <c r="J31" t="str">
        <v>龙老联络线</v>
      </c>
    </row>
    <row r="32" spans="1:10" x14ac:dyDescent="0.25">
      <c r="A32" s="205" t="s">
        <v>524</v>
      </c>
      <c r="B32" s="205">
        <v>71</v>
      </c>
      <c r="D32">
        <v>33</v>
      </c>
      <c r="E32" t="s">
        <v>850</v>
      </c>
      <c r="F32">
        <v>1</v>
      </c>
      <c r="G32">
        <v>32</v>
      </c>
      <c r="J32" t="str">
        <v>广石线</v>
      </c>
    </row>
    <row r="33" spans="1:10" x14ac:dyDescent="0.25">
      <c r="A33" s="205" t="s">
        <v>532</v>
      </c>
      <c r="B33" s="205">
        <v>16</v>
      </c>
      <c r="D33">
        <v>20</v>
      </c>
      <c r="E33" t="s">
        <v>816</v>
      </c>
      <c r="F33">
        <v>3</v>
      </c>
      <c r="G33">
        <v>30</v>
      </c>
      <c r="J33" t="str">
        <v>白敦联络线</v>
      </c>
    </row>
    <row r="34" spans="1:10" x14ac:dyDescent="0.25">
      <c r="A34" s="205" t="s">
        <v>808</v>
      </c>
      <c r="B34" s="205">
        <v>62</v>
      </c>
      <c r="D34">
        <v>35</v>
      </c>
      <c r="E34" t="s">
        <v>856</v>
      </c>
      <c r="F34">
        <v>1</v>
      </c>
      <c r="G34">
        <v>26</v>
      </c>
      <c r="J34" t="str">
        <v>成昆铁路元昆段</v>
      </c>
    </row>
    <row r="35" spans="1:10" x14ac:dyDescent="0.25">
      <c r="A35" s="205" t="s">
        <v>803</v>
      </c>
      <c r="B35" s="205">
        <v>115</v>
      </c>
      <c r="D35">
        <v>30</v>
      </c>
      <c r="E35" t="s">
        <v>844</v>
      </c>
      <c r="F35">
        <v>3</v>
      </c>
      <c r="G35">
        <v>21</v>
      </c>
      <c r="J35" t="str">
        <v>京广线</v>
      </c>
    </row>
    <row r="36" spans="1:10" x14ac:dyDescent="0.25">
      <c r="A36" s="205" t="s">
        <v>532</v>
      </c>
      <c r="B36" s="205">
        <v>16</v>
      </c>
      <c r="D36">
        <v>27</v>
      </c>
      <c r="E36" t="s">
        <v>835</v>
      </c>
      <c r="F36">
        <v>2</v>
      </c>
      <c r="G36">
        <v>16</v>
      </c>
      <c r="J36" t="str">
        <v>鹰厦线</v>
      </c>
    </row>
    <row r="37" spans="1:10" x14ac:dyDescent="0.25">
      <c r="A37" s="205" t="s">
        <v>826</v>
      </c>
      <c r="B37" s="205">
        <v>85</v>
      </c>
      <c r="D37">
        <v>32</v>
      </c>
      <c r="E37" t="s">
        <v>848</v>
      </c>
      <c r="F37">
        <v>1</v>
      </c>
      <c r="G37">
        <v>12</v>
      </c>
      <c r="J37" t="str">
        <v>贵南线</v>
      </c>
    </row>
    <row r="38" spans="1:10" x14ac:dyDescent="0.25">
      <c r="A38" s="205" t="s">
        <v>812</v>
      </c>
      <c r="B38" s="205">
        <v>475</v>
      </c>
      <c r="D38">
        <v>37</v>
      </c>
    </row>
    <row r="39" spans="1:10" x14ac:dyDescent="0.25">
      <c r="A39" s="205" t="s">
        <v>813</v>
      </c>
      <c r="B39" s="205">
        <v>179</v>
      </c>
      <c r="D39">
        <v>38</v>
      </c>
    </row>
    <row r="40" spans="1:10" x14ac:dyDescent="0.25">
      <c r="A40" s="205" t="s">
        <v>814</v>
      </c>
      <c r="B40" s="205">
        <v>186</v>
      </c>
      <c r="D40">
        <v>39</v>
      </c>
    </row>
    <row r="41" spans="1:10" x14ac:dyDescent="0.25">
      <c r="A41" s="205" t="s">
        <v>532</v>
      </c>
      <c r="B41" s="205">
        <v>16</v>
      </c>
      <c r="D41">
        <v>40</v>
      </c>
    </row>
    <row r="42" spans="1:10" x14ac:dyDescent="0.25">
      <c r="A42" s="205" t="s">
        <v>815</v>
      </c>
      <c r="B42" s="205">
        <v>88</v>
      </c>
      <c r="D42">
        <v>41</v>
      </c>
    </row>
    <row r="43" spans="1:10" x14ac:dyDescent="0.25">
      <c r="A43" s="205" t="s">
        <v>532</v>
      </c>
      <c r="B43" s="205">
        <v>50</v>
      </c>
      <c r="D43">
        <v>42</v>
      </c>
    </row>
    <row r="44" spans="1:10" x14ac:dyDescent="0.25">
      <c r="A44" s="205" t="s">
        <v>803</v>
      </c>
      <c r="B44" s="205">
        <v>109</v>
      </c>
      <c r="D44">
        <v>43</v>
      </c>
    </row>
    <row r="45" spans="1:10" x14ac:dyDescent="0.25">
      <c r="A45" s="205" t="s">
        <v>803</v>
      </c>
      <c r="B45" s="205">
        <v>137</v>
      </c>
      <c r="D45">
        <v>44</v>
      </c>
    </row>
    <row r="46" spans="1:10" x14ac:dyDescent="0.25">
      <c r="A46" s="205" t="s">
        <v>532</v>
      </c>
      <c r="B46" s="205">
        <v>50</v>
      </c>
      <c r="D46">
        <v>45</v>
      </c>
    </row>
    <row r="47" spans="1:10" x14ac:dyDescent="0.25">
      <c r="A47" s="205" t="s">
        <v>815</v>
      </c>
      <c r="B47" s="205">
        <v>32</v>
      </c>
      <c r="D47">
        <v>46</v>
      </c>
    </row>
    <row r="48" spans="1:10" x14ac:dyDescent="0.25">
      <c r="A48" s="205" t="s">
        <v>524</v>
      </c>
      <c r="B48" s="205">
        <v>68</v>
      </c>
      <c r="D48">
        <v>47</v>
      </c>
    </row>
    <row r="49" spans="1:4" x14ac:dyDescent="0.25">
      <c r="A49" s="205" t="s">
        <v>524</v>
      </c>
      <c r="B49" s="205">
        <v>68</v>
      </c>
      <c r="D49">
        <v>48</v>
      </c>
    </row>
    <row r="50" spans="1:4" x14ac:dyDescent="0.25">
      <c r="A50" s="205" t="s">
        <v>532</v>
      </c>
      <c r="B50" s="205">
        <v>16</v>
      </c>
      <c r="D50">
        <v>49</v>
      </c>
    </row>
    <row r="51" spans="1:4" x14ac:dyDescent="0.25">
      <c r="A51" s="205" t="s">
        <v>532</v>
      </c>
      <c r="B51" s="205">
        <v>102</v>
      </c>
      <c r="D51">
        <v>50</v>
      </c>
    </row>
    <row r="52" spans="1:4" x14ac:dyDescent="0.25">
      <c r="A52" s="205" t="s">
        <v>532</v>
      </c>
      <c r="B52" s="205">
        <v>102</v>
      </c>
      <c r="D52">
        <v>51</v>
      </c>
    </row>
    <row r="53" spans="1:4" x14ac:dyDescent="0.25">
      <c r="A53" s="205" t="s">
        <v>532</v>
      </c>
      <c r="B53" s="205">
        <v>16</v>
      </c>
      <c r="D53">
        <v>52</v>
      </c>
    </row>
    <row r="54" spans="1:4" x14ac:dyDescent="0.25">
      <c r="A54" s="205" t="s">
        <v>524</v>
      </c>
      <c r="B54" s="205">
        <v>37</v>
      </c>
      <c r="D54">
        <v>53</v>
      </c>
    </row>
    <row r="55" spans="1:4" x14ac:dyDescent="0.25">
      <c r="A55" s="205" t="s">
        <v>532</v>
      </c>
      <c r="B55" s="205">
        <v>102</v>
      </c>
      <c r="D55">
        <v>54</v>
      </c>
    </row>
    <row r="56" spans="1:4" x14ac:dyDescent="0.25">
      <c r="A56" s="205" t="s">
        <v>816</v>
      </c>
      <c r="B56" s="205">
        <v>10</v>
      </c>
      <c r="D56">
        <v>55</v>
      </c>
    </row>
    <row r="57" spans="1:4" x14ac:dyDescent="0.25">
      <c r="A57" s="205" t="s">
        <v>818</v>
      </c>
      <c r="B57" s="205">
        <v>74</v>
      </c>
      <c r="D57">
        <v>56</v>
      </c>
    </row>
    <row r="58" spans="1:4" x14ac:dyDescent="0.25">
      <c r="A58" s="205" t="s">
        <v>819</v>
      </c>
      <c r="B58" s="205">
        <v>251</v>
      </c>
      <c r="D58">
        <v>57</v>
      </c>
    </row>
    <row r="59" spans="1:4" x14ac:dyDescent="0.25">
      <c r="A59" s="205" t="s">
        <v>524</v>
      </c>
      <c r="B59" s="205">
        <v>76</v>
      </c>
      <c r="D59">
        <v>58</v>
      </c>
    </row>
    <row r="60" spans="1:4" x14ac:dyDescent="0.25">
      <c r="A60" s="205" t="s">
        <v>524</v>
      </c>
      <c r="B60" s="205">
        <v>80</v>
      </c>
      <c r="D60">
        <v>59</v>
      </c>
    </row>
    <row r="61" spans="1:4" x14ac:dyDescent="0.25">
      <c r="A61" s="205" t="s">
        <v>829</v>
      </c>
      <c r="B61" s="205">
        <v>83</v>
      </c>
      <c r="D61">
        <v>60</v>
      </c>
    </row>
    <row r="62" spans="1:4" x14ac:dyDescent="0.25">
      <c r="A62" s="205" t="s">
        <v>532</v>
      </c>
      <c r="B62" s="205">
        <v>39</v>
      </c>
      <c r="D62">
        <v>61</v>
      </c>
    </row>
    <row r="63" spans="1:4" x14ac:dyDescent="0.25">
      <c r="A63" s="205" t="s">
        <v>532</v>
      </c>
      <c r="B63" s="205">
        <v>55</v>
      </c>
      <c r="D63">
        <v>62</v>
      </c>
    </row>
    <row r="64" spans="1:4" x14ac:dyDescent="0.25">
      <c r="A64" s="205" t="s">
        <v>524</v>
      </c>
      <c r="B64" s="205">
        <v>37</v>
      </c>
      <c r="D64">
        <v>63</v>
      </c>
    </row>
    <row r="65" spans="1:4" x14ac:dyDescent="0.25">
      <c r="A65" s="205" t="s">
        <v>524</v>
      </c>
      <c r="B65" s="205">
        <v>37</v>
      </c>
      <c r="D65">
        <v>64</v>
      </c>
    </row>
    <row r="66" spans="1:4" x14ac:dyDescent="0.25">
      <c r="A66" s="205" t="s">
        <v>532</v>
      </c>
      <c r="B66" s="205">
        <v>39</v>
      </c>
      <c r="D66">
        <v>65</v>
      </c>
    </row>
    <row r="67" spans="1:4" x14ac:dyDescent="0.25">
      <c r="A67" s="205" t="s">
        <v>532</v>
      </c>
      <c r="B67" s="205">
        <v>16</v>
      </c>
      <c r="D67">
        <v>66</v>
      </c>
    </row>
    <row r="68" spans="1:4" x14ac:dyDescent="0.25">
      <c r="A68" s="205" t="s">
        <v>822</v>
      </c>
      <c r="B68" s="205">
        <v>169</v>
      </c>
      <c r="D68">
        <v>67</v>
      </c>
    </row>
    <row r="69" spans="1:4" x14ac:dyDescent="0.25">
      <c r="A69" s="205" t="s">
        <v>823</v>
      </c>
      <c r="B69" s="205">
        <v>99</v>
      </c>
      <c r="D69">
        <v>68</v>
      </c>
    </row>
    <row r="70" spans="1:4" x14ac:dyDescent="0.25">
      <c r="A70" s="205" t="s">
        <v>825</v>
      </c>
      <c r="B70" s="205">
        <v>32</v>
      </c>
      <c r="D70">
        <v>69</v>
      </c>
    </row>
    <row r="71" spans="1:4" x14ac:dyDescent="0.25">
      <c r="A71" s="205" t="s">
        <v>833</v>
      </c>
      <c r="B71" s="205">
        <v>121</v>
      </c>
      <c r="D71">
        <v>70</v>
      </c>
    </row>
    <row r="72" spans="1:4" x14ac:dyDescent="0.25">
      <c r="A72" s="205" t="s">
        <v>835</v>
      </c>
      <c r="B72" s="205">
        <v>8</v>
      </c>
      <c r="D72">
        <v>71</v>
      </c>
    </row>
    <row r="73" spans="1:4" x14ac:dyDescent="0.25">
      <c r="A73" s="205" t="s">
        <v>835</v>
      </c>
      <c r="B73" s="205">
        <v>8</v>
      </c>
      <c r="D73">
        <v>72</v>
      </c>
    </row>
    <row r="74" spans="1:4" x14ac:dyDescent="0.25">
      <c r="A74" s="205" t="s">
        <v>527</v>
      </c>
      <c r="B74" s="205">
        <v>2</v>
      </c>
      <c r="D74">
        <v>73</v>
      </c>
    </row>
    <row r="75" spans="1:4" x14ac:dyDescent="0.25">
      <c r="A75" s="205" t="s">
        <v>524</v>
      </c>
      <c r="B75" s="205">
        <v>37</v>
      </c>
      <c r="D75">
        <v>74</v>
      </c>
    </row>
    <row r="76" spans="1:4" x14ac:dyDescent="0.25">
      <c r="A76" s="205" t="s">
        <v>529</v>
      </c>
      <c r="B76" s="205">
        <v>19</v>
      </c>
      <c r="D76">
        <v>75</v>
      </c>
    </row>
    <row r="77" spans="1:4" x14ac:dyDescent="0.25">
      <c r="A77" s="205" t="s">
        <v>527</v>
      </c>
      <c r="B77" s="205">
        <v>2</v>
      </c>
      <c r="D77">
        <v>76</v>
      </c>
    </row>
    <row r="78" spans="1:4" x14ac:dyDescent="0.25">
      <c r="A78" s="205" t="s">
        <v>529</v>
      </c>
      <c r="B78" s="205">
        <v>19</v>
      </c>
      <c r="D78">
        <v>77</v>
      </c>
    </row>
    <row r="79" spans="1:4" x14ac:dyDescent="0.25">
      <c r="A79" s="205" t="s">
        <v>527</v>
      </c>
      <c r="B79" s="205">
        <v>2</v>
      </c>
      <c r="D79">
        <v>78</v>
      </c>
    </row>
    <row r="80" spans="1:4" x14ac:dyDescent="0.25">
      <c r="A80" s="205" t="s">
        <v>529</v>
      </c>
      <c r="B80" s="205">
        <v>19</v>
      </c>
      <c r="D80">
        <v>79</v>
      </c>
    </row>
    <row r="81" spans="1:4" x14ac:dyDescent="0.25">
      <c r="A81" s="205" t="s">
        <v>529</v>
      </c>
      <c r="B81" s="205">
        <v>19</v>
      </c>
      <c r="D81">
        <v>80</v>
      </c>
    </row>
    <row r="82" spans="1:4" x14ac:dyDescent="0.25">
      <c r="A82" s="205" t="s">
        <v>527</v>
      </c>
      <c r="B82" s="205">
        <v>2</v>
      </c>
      <c r="D82">
        <v>81</v>
      </c>
    </row>
    <row r="83" spans="1:4" x14ac:dyDescent="0.25">
      <c r="A83" s="205" t="s">
        <v>800</v>
      </c>
      <c r="B83" s="205">
        <v>27</v>
      </c>
      <c r="D83">
        <v>82</v>
      </c>
    </row>
    <row r="84" spans="1:4" x14ac:dyDescent="0.25">
      <c r="A84" s="205" t="s">
        <v>828</v>
      </c>
      <c r="B84" s="205">
        <v>707</v>
      </c>
      <c r="D84">
        <v>83</v>
      </c>
    </row>
    <row r="85" spans="1:4" x14ac:dyDescent="0.25">
      <c r="A85" s="205" t="s">
        <v>532</v>
      </c>
      <c r="B85" s="205">
        <v>102</v>
      </c>
      <c r="D85">
        <v>84</v>
      </c>
    </row>
    <row r="86" spans="1:4" x14ac:dyDescent="0.25">
      <c r="A86" s="205" t="s">
        <v>529</v>
      </c>
      <c r="B86" s="205">
        <v>19</v>
      </c>
      <c r="D86">
        <v>85</v>
      </c>
    </row>
    <row r="87" spans="1:4" x14ac:dyDescent="0.25">
      <c r="A87" s="205" t="s">
        <v>815</v>
      </c>
      <c r="B87" s="205">
        <v>45</v>
      </c>
      <c r="D87">
        <v>86</v>
      </c>
    </row>
    <row r="88" spans="1:4" x14ac:dyDescent="0.25">
      <c r="A88" s="205" t="s">
        <v>529</v>
      </c>
      <c r="B88" s="205">
        <v>19</v>
      </c>
      <c r="D88">
        <v>87</v>
      </c>
    </row>
    <row r="89" spans="1:4" x14ac:dyDescent="0.25">
      <c r="A89" s="205" t="s">
        <v>527</v>
      </c>
      <c r="B89" s="205">
        <v>2</v>
      </c>
      <c r="D89">
        <v>88</v>
      </c>
    </row>
    <row r="90" spans="1:4" x14ac:dyDescent="0.25">
      <c r="A90" s="205" t="s">
        <v>529</v>
      </c>
      <c r="B90" s="205">
        <v>19</v>
      </c>
      <c r="D90">
        <v>89</v>
      </c>
    </row>
    <row r="91" spans="1:4" x14ac:dyDescent="0.25">
      <c r="A91" s="205" t="s">
        <v>527</v>
      </c>
      <c r="B91" s="205">
        <v>2</v>
      </c>
      <c r="D91">
        <v>90</v>
      </c>
    </row>
    <row r="92" spans="1:4" x14ac:dyDescent="0.25">
      <c r="A92" s="205" t="s">
        <v>804</v>
      </c>
      <c r="B92" s="205">
        <v>30</v>
      </c>
      <c r="D92">
        <v>91</v>
      </c>
    </row>
    <row r="93" spans="1:4" x14ac:dyDescent="0.25">
      <c r="A93" s="205" t="s">
        <v>814</v>
      </c>
      <c r="B93" s="205">
        <v>149</v>
      </c>
      <c r="D93">
        <v>92</v>
      </c>
    </row>
    <row r="94" spans="1:4" x14ac:dyDescent="0.25">
      <c r="A94" s="205" t="s">
        <v>812</v>
      </c>
      <c r="B94" s="205">
        <v>368</v>
      </c>
      <c r="D94">
        <v>93</v>
      </c>
    </row>
    <row r="95" spans="1:4" x14ac:dyDescent="0.25">
      <c r="A95" s="205" t="s">
        <v>529</v>
      </c>
      <c r="B95" s="205">
        <v>19</v>
      </c>
      <c r="D95">
        <v>94</v>
      </c>
    </row>
    <row r="96" spans="1:4" x14ac:dyDescent="0.25">
      <c r="A96" s="205" t="s">
        <v>529</v>
      </c>
      <c r="B96" s="205">
        <v>19</v>
      </c>
      <c r="D96">
        <v>95</v>
      </c>
    </row>
    <row r="97" spans="1:4" x14ac:dyDescent="0.25">
      <c r="A97" s="205" t="s">
        <v>529</v>
      </c>
      <c r="B97" s="205">
        <v>19</v>
      </c>
      <c r="D97">
        <v>96</v>
      </c>
    </row>
    <row r="98" spans="1:4" x14ac:dyDescent="0.25">
      <c r="A98" s="205" t="s">
        <v>527</v>
      </c>
      <c r="B98" s="205">
        <v>2</v>
      </c>
      <c r="D98">
        <v>97</v>
      </c>
    </row>
    <row r="99" spans="1:4" x14ac:dyDescent="0.25">
      <c r="A99" s="205" t="s">
        <v>818</v>
      </c>
      <c r="B99" s="205">
        <v>815</v>
      </c>
      <c r="D99">
        <v>98</v>
      </c>
    </row>
    <row r="100" spans="1:4" x14ac:dyDescent="0.25">
      <c r="A100" s="205" t="s">
        <v>842</v>
      </c>
      <c r="B100" s="205">
        <v>24</v>
      </c>
      <c r="D100">
        <v>99</v>
      </c>
    </row>
    <row r="101" spans="1:4" x14ac:dyDescent="0.25">
      <c r="A101" s="205" t="s">
        <v>844</v>
      </c>
      <c r="B101" s="205">
        <v>7</v>
      </c>
      <c r="D101">
        <v>100</v>
      </c>
    </row>
    <row r="102" spans="1:4" x14ac:dyDescent="0.25">
      <c r="A102" s="205" t="s">
        <v>846</v>
      </c>
      <c r="B102" s="205">
        <v>70</v>
      </c>
      <c r="D102">
        <v>101</v>
      </c>
    </row>
    <row r="103" spans="1:4" x14ac:dyDescent="0.25">
      <c r="A103" s="205" t="s">
        <v>532</v>
      </c>
      <c r="B103" s="205">
        <v>102</v>
      </c>
      <c r="D103">
        <v>102</v>
      </c>
    </row>
    <row r="104" spans="1:4" x14ac:dyDescent="0.25">
      <c r="A104" s="205" t="s">
        <v>529</v>
      </c>
      <c r="B104" s="205">
        <v>19</v>
      </c>
      <c r="D104">
        <v>103</v>
      </c>
    </row>
    <row r="105" spans="1:4" x14ac:dyDescent="0.25">
      <c r="A105" s="205" t="s">
        <v>527</v>
      </c>
      <c r="B105" s="205">
        <v>2</v>
      </c>
      <c r="D105">
        <v>104</v>
      </c>
    </row>
    <row r="106" spans="1:4" x14ac:dyDescent="0.25">
      <c r="A106" s="205" t="s">
        <v>527</v>
      </c>
      <c r="B106" s="205">
        <v>2</v>
      </c>
      <c r="D106">
        <v>105</v>
      </c>
    </row>
    <row r="107" spans="1:4" x14ac:dyDescent="0.25">
      <c r="A107" s="205" t="s">
        <v>529</v>
      </c>
      <c r="B107" s="205">
        <v>19</v>
      </c>
      <c r="D107">
        <v>106</v>
      </c>
    </row>
    <row r="108" spans="1:4" x14ac:dyDescent="0.25">
      <c r="A108" s="205" t="s">
        <v>848</v>
      </c>
      <c r="B108" s="205">
        <v>12</v>
      </c>
      <c r="D108">
        <v>107</v>
      </c>
    </row>
    <row r="109" spans="1:4" x14ac:dyDescent="0.25">
      <c r="A109" s="205" t="s">
        <v>850</v>
      </c>
      <c r="B109" s="205">
        <v>32</v>
      </c>
      <c r="D109">
        <v>108</v>
      </c>
    </row>
    <row r="110" spans="1:4" x14ac:dyDescent="0.25">
      <c r="A110" s="205" t="s">
        <v>798</v>
      </c>
      <c r="B110" s="205">
        <v>485</v>
      </c>
      <c r="D110">
        <v>109</v>
      </c>
    </row>
    <row r="111" spans="1:4" x14ac:dyDescent="0.25">
      <c r="A111" s="205" t="s">
        <v>524</v>
      </c>
      <c r="B111" s="205">
        <v>56</v>
      </c>
      <c r="D111">
        <v>110</v>
      </c>
    </row>
    <row r="112" spans="1:4" x14ac:dyDescent="0.25">
      <c r="A112" s="205" t="s">
        <v>527</v>
      </c>
      <c r="B112" s="205">
        <v>2</v>
      </c>
      <c r="D112">
        <v>111</v>
      </c>
    </row>
    <row r="113" spans="1:4" x14ac:dyDescent="0.25">
      <c r="A113" s="205" t="s">
        <v>529</v>
      </c>
      <c r="B113" s="205">
        <v>19</v>
      </c>
      <c r="D113">
        <v>112</v>
      </c>
    </row>
    <row r="114" spans="1:4" x14ac:dyDescent="0.25">
      <c r="A114" s="205" t="s">
        <v>527</v>
      </c>
      <c r="B114" s="205">
        <v>2</v>
      </c>
      <c r="D114">
        <v>113</v>
      </c>
    </row>
    <row r="115" spans="1:4" x14ac:dyDescent="0.25">
      <c r="A115" s="205" t="s">
        <v>529</v>
      </c>
      <c r="B115" s="205">
        <v>19</v>
      </c>
      <c r="D115">
        <v>114</v>
      </c>
    </row>
    <row r="116" spans="1:4" x14ac:dyDescent="0.25">
      <c r="A116" s="205" t="s">
        <v>527</v>
      </c>
      <c r="B116" s="205">
        <v>2</v>
      </c>
      <c r="D116">
        <v>115</v>
      </c>
    </row>
    <row r="117" spans="1:4" x14ac:dyDescent="0.25">
      <c r="A117" s="205" t="s">
        <v>527</v>
      </c>
      <c r="B117" s="205">
        <v>2</v>
      </c>
      <c r="D117">
        <v>116</v>
      </c>
    </row>
    <row r="118" spans="1:4" x14ac:dyDescent="0.25">
      <c r="A118" s="205" t="s">
        <v>529</v>
      </c>
      <c r="B118" s="205">
        <v>19</v>
      </c>
      <c r="D118">
        <v>117</v>
      </c>
    </row>
    <row r="119" spans="1:4" x14ac:dyDescent="0.25">
      <c r="A119" s="205" t="s">
        <v>801</v>
      </c>
      <c r="B119" s="205">
        <v>64</v>
      </c>
      <c r="D119">
        <v>118</v>
      </c>
    </row>
    <row r="120" spans="1:4" x14ac:dyDescent="0.25">
      <c r="A120" s="205" t="s">
        <v>527</v>
      </c>
      <c r="B120" s="205">
        <v>2</v>
      </c>
      <c r="D120">
        <v>119</v>
      </c>
    </row>
    <row r="121" spans="1:4" x14ac:dyDescent="0.25">
      <c r="A121" s="205" t="s">
        <v>532</v>
      </c>
      <c r="B121" s="205">
        <v>102</v>
      </c>
      <c r="D121">
        <v>120</v>
      </c>
    </row>
    <row r="122" spans="1:4" x14ac:dyDescent="0.25">
      <c r="A122" s="205" t="s">
        <v>527</v>
      </c>
      <c r="B122" s="205">
        <v>2</v>
      </c>
      <c r="D122">
        <v>121</v>
      </c>
    </row>
    <row r="123" spans="1:4" x14ac:dyDescent="0.25">
      <c r="A123" s="205" t="s">
        <v>529</v>
      </c>
      <c r="B123" s="205">
        <v>19</v>
      </c>
      <c r="D123">
        <v>122</v>
      </c>
    </row>
    <row r="124" spans="1:4" x14ac:dyDescent="0.25">
      <c r="A124" s="205" t="s">
        <v>527</v>
      </c>
      <c r="B124" s="205">
        <v>2</v>
      </c>
      <c r="D124">
        <v>123</v>
      </c>
    </row>
    <row r="125" spans="1:4" x14ac:dyDescent="0.25">
      <c r="A125" s="205" t="s">
        <v>529</v>
      </c>
      <c r="B125" s="205">
        <v>19</v>
      </c>
      <c r="D125">
        <v>124</v>
      </c>
    </row>
    <row r="126" spans="1:4" x14ac:dyDescent="0.25">
      <c r="A126" s="205" t="s">
        <v>815</v>
      </c>
      <c r="B126" s="205">
        <v>45</v>
      </c>
      <c r="D126">
        <v>125</v>
      </c>
    </row>
    <row r="127" spans="1:4" x14ac:dyDescent="0.25">
      <c r="A127" s="205" t="s">
        <v>808</v>
      </c>
      <c r="B127" s="205">
        <v>74</v>
      </c>
      <c r="D127">
        <v>126</v>
      </c>
    </row>
    <row r="128" spans="1:4" x14ac:dyDescent="0.25">
      <c r="A128" s="205" t="s">
        <v>527</v>
      </c>
      <c r="B128" s="205">
        <v>2</v>
      </c>
      <c r="D128">
        <v>127</v>
      </c>
    </row>
    <row r="129" spans="1:4" x14ac:dyDescent="0.25">
      <c r="A129" s="205" t="s">
        <v>527</v>
      </c>
      <c r="B129" s="205">
        <v>2</v>
      </c>
      <c r="D129">
        <v>128</v>
      </c>
    </row>
    <row r="130" spans="1:4" x14ac:dyDescent="0.25">
      <c r="A130" s="205" t="s">
        <v>527</v>
      </c>
      <c r="B130" s="205">
        <v>2</v>
      </c>
      <c r="D130">
        <v>129</v>
      </c>
    </row>
    <row r="131" spans="1:4" x14ac:dyDescent="0.25">
      <c r="A131" s="205" t="s">
        <v>529</v>
      </c>
      <c r="B131" s="205">
        <v>19</v>
      </c>
      <c r="D131">
        <v>130</v>
      </c>
    </row>
    <row r="132" spans="1:4" x14ac:dyDescent="0.25">
      <c r="A132" s="205" t="s">
        <v>844</v>
      </c>
      <c r="B132" s="205">
        <v>7</v>
      </c>
      <c r="D132">
        <v>131</v>
      </c>
    </row>
    <row r="133" spans="1:4" x14ac:dyDescent="0.25">
      <c r="A133" s="205" t="s">
        <v>844</v>
      </c>
      <c r="B133" s="205">
        <v>7</v>
      </c>
      <c r="D133">
        <v>132</v>
      </c>
    </row>
    <row r="134" spans="1:4" x14ac:dyDescent="0.25">
      <c r="A134" s="205" t="s">
        <v>842</v>
      </c>
      <c r="B134" s="205">
        <v>24</v>
      </c>
      <c r="D134">
        <v>133</v>
      </c>
    </row>
    <row r="135" spans="1:4" x14ac:dyDescent="0.25">
      <c r="A135" s="205" t="s">
        <v>853</v>
      </c>
      <c r="B135" s="205">
        <v>194</v>
      </c>
      <c r="D135">
        <v>134</v>
      </c>
    </row>
    <row r="136" spans="1:4" x14ac:dyDescent="0.25">
      <c r="A136" s="205" t="s">
        <v>527</v>
      </c>
      <c r="B136" s="205">
        <v>2</v>
      </c>
      <c r="D136">
        <v>135</v>
      </c>
    </row>
    <row r="137" spans="1:4" x14ac:dyDescent="0.25">
      <c r="A137" s="205" t="s">
        <v>529</v>
      </c>
      <c r="B137" s="205">
        <v>19</v>
      </c>
      <c r="D137">
        <v>136</v>
      </c>
    </row>
    <row r="138" spans="1:4" x14ac:dyDescent="0.25">
      <c r="A138" s="205" t="s">
        <v>529</v>
      </c>
      <c r="B138" s="205">
        <v>19</v>
      </c>
      <c r="D138">
        <v>137</v>
      </c>
    </row>
    <row r="139" spans="1:4" x14ac:dyDescent="0.25">
      <c r="A139" s="205" t="s">
        <v>527</v>
      </c>
      <c r="B139" s="205">
        <v>2</v>
      </c>
      <c r="D139">
        <v>138</v>
      </c>
    </row>
    <row r="140" spans="1:4" x14ac:dyDescent="0.25">
      <c r="A140" s="205" t="s">
        <v>825</v>
      </c>
      <c r="B140" s="205">
        <v>267</v>
      </c>
      <c r="D140">
        <v>139</v>
      </c>
    </row>
    <row r="141" spans="1:4" x14ac:dyDescent="0.25">
      <c r="A141" s="205" t="s">
        <v>856</v>
      </c>
      <c r="B141" s="205">
        <v>26</v>
      </c>
      <c r="D141">
        <v>140</v>
      </c>
    </row>
    <row r="142" spans="1:4" x14ac:dyDescent="0.25">
      <c r="A142" s="205" t="s">
        <v>524</v>
      </c>
      <c r="B142" s="205">
        <v>37</v>
      </c>
      <c r="D142">
        <v>141</v>
      </c>
    </row>
    <row r="143" spans="1:4" x14ac:dyDescent="0.25">
      <c r="A143" s="205" t="s">
        <v>532</v>
      </c>
      <c r="B143" s="205">
        <v>16</v>
      </c>
      <c r="D143">
        <v>142</v>
      </c>
    </row>
    <row r="144" spans="1:4" x14ac:dyDescent="0.25">
      <c r="A144" s="205" t="s">
        <v>524</v>
      </c>
      <c r="B144" s="205">
        <v>37</v>
      </c>
      <c r="D144">
        <v>143</v>
      </c>
    </row>
    <row r="145" spans="1:4" x14ac:dyDescent="0.25">
      <c r="A145" s="205" t="s">
        <v>532</v>
      </c>
      <c r="B145" s="205">
        <v>16</v>
      </c>
      <c r="D145">
        <v>144</v>
      </c>
    </row>
    <row r="146" spans="1:4" x14ac:dyDescent="0.25">
      <c r="A146" s="205" t="s">
        <v>524</v>
      </c>
      <c r="B146" s="205">
        <v>37</v>
      </c>
      <c r="D146">
        <v>145</v>
      </c>
    </row>
    <row r="147" spans="1:4" x14ac:dyDescent="0.25">
      <c r="A147" s="205" t="s">
        <v>524</v>
      </c>
      <c r="B147" s="205">
        <v>37</v>
      </c>
      <c r="D147">
        <v>146</v>
      </c>
    </row>
    <row r="148" spans="1:4" x14ac:dyDescent="0.25">
      <c r="A148" s="205" t="s">
        <v>532</v>
      </c>
      <c r="B148" s="205">
        <v>16</v>
      </c>
      <c r="D148">
        <v>147</v>
      </c>
    </row>
    <row r="149" spans="1:4" x14ac:dyDescent="0.25">
      <c r="A149" s="205" t="s">
        <v>524</v>
      </c>
      <c r="B149" s="205">
        <v>37</v>
      </c>
      <c r="D149">
        <v>148</v>
      </c>
    </row>
    <row r="150" spans="1:4" x14ac:dyDescent="0.25">
      <c r="A150" s="205" t="s">
        <v>524</v>
      </c>
      <c r="B150" s="205">
        <v>37</v>
      </c>
      <c r="D150">
        <v>149</v>
      </c>
    </row>
    <row r="151" spans="1:4" x14ac:dyDescent="0.25">
      <c r="A151" s="205" t="s">
        <v>532</v>
      </c>
      <c r="B151" s="205">
        <v>16</v>
      </c>
      <c r="D151">
        <v>150</v>
      </c>
    </row>
    <row r="152" spans="1:4" x14ac:dyDescent="0.25">
      <c r="A152" s="205" t="s">
        <v>524</v>
      </c>
      <c r="B152" s="205">
        <v>37</v>
      </c>
      <c r="D152">
        <v>151</v>
      </c>
    </row>
    <row r="153" spans="1:4" x14ac:dyDescent="0.25">
      <c r="A153" s="205" t="s">
        <v>532</v>
      </c>
      <c r="B153" s="205">
        <v>16</v>
      </c>
      <c r="D153">
        <v>152</v>
      </c>
    </row>
    <row r="154" spans="1:4" x14ac:dyDescent="0.25">
      <c r="A154" s="205" t="s">
        <v>816</v>
      </c>
      <c r="B154" s="205">
        <v>10</v>
      </c>
      <c r="D154">
        <v>153</v>
      </c>
    </row>
    <row r="155" spans="1:4" x14ac:dyDescent="0.25">
      <c r="A155" s="205" t="s">
        <v>524</v>
      </c>
      <c r="B155" s="205">
        <v>37</v>
      </c>
      <c r="D155">
        <v>154</v>
      </c>
    </row>
    <row r="156" spans="1:4" x14ac:dyDescent="0.25">
      <c r="A156" s="205" t="s">
        <v>524</v>
      </c>
      <c r="B156" s="205">
        <v>37</v>
      </c>
      <c r="D156">
        <v>155</v>
      </c>
    </row>
    <row r="157" spans="1:4" x14ac:dyDescent="0.25">
      <c r="A157" s="205" t="s">
        <v>524</v>
      </c>
      <c r="B157" s="205">
        <v>37</v>
      </c>
      <c r="D157">
        <v>156</v>
      </c>
    </row>
    <row r="158" spans="1:4" x14ac:dyDescent="0.25">
      <c r="A158" s="205" t="s">
        <v>532</v>
      </c>
      <c r="B158" s="205">
        <v>16</v>
      </c>
      <c r="D158">
        <v>157</v>
      </c>
    </row>
    <row r="159" spans="1:4" x14ac:dyDescent="0.25">
      <c r="A159" s="205" t="s">
        <v>842</v>
      </c>
      <c r="B159" s="205">
        <v>24</v>
      </c>
      <c r="D159">
        <v>158</v>
      </c>
    </row>
    <row r="160" spans="1:4" x14ac:dyDescent="0.25">
      <c r="A160" s="205" t="s">
        <v>858</v>
      </c>
      <c r="B160" s="205">
        <v>175</v>
      </c>
      <c r="D160">
        <v>159</v>
      </c>
    </row>
    <row r="161" spans="1:4" x14ac:dyDescent="0.25">
      <c r="A161" s="205" t="s">
        <v>816</v>
      </c>
      <c r="B161" s="205">
        <v>10</v>
      </c>
      <c r="D161">
        <v>160</v>
      </c>
    </row>
    <row r="162" spans="1:4" x14ac:dyDescent="0.25">
      <c r="A162" s="205" t="s">
        <v>524</v>
      </c>
      <c r="B162" s="205">
        <v>37</v>
      </c>
      <c r="D162">
        <v>161</v>
      </c>
    </row>
    <row r="163" spans="1:4" x14ac:dyDescent="0.25">
      <c r="A163" s="205" t="s">
        <v>532</v>
      </c>
      <c r="B163" s="205">
        <v>16</v>
      </c>
      <c r="D163">
        <v>162</v>
      </c>
    </row>
    <row r="164" spans="1:4" x14ac:dyDescent="0.25">
      <c r="A164" s="205" t="s">
        <v>532</v>
      </c>
      <c r="B164" s="205">
        <v>16</v>
      </c>
      <c r="D164">
        <v>163</v>
      </c>
    </row>
    <row r="165" spans="1:4" x14ac:dyDescent="0.25">
      <c r="A165" s="205" t="s">
        <v>524</v>
      </c>
      <c r="B165" s="205">
        <v>37</v>
      </c>
      <c r="D165">
        <v>164</v>
      </c>
    </row>
  </sheetData>
  <autoFilter ref="A1:G204" xr:uid="{CC2E97ED-0792-4416-8C48-8AACD58AAA8A}">
    <sortState xmlns:xlrd2="http://schemas.microsoft.com/office/spreadsheetml/2017/richdata2" ref="A2:G204">
      <sortCondition descending="1" ref="G1:G20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all</vt:lpstr>
      <vt:lpstr>processed</vt:lpstr>
      <vt:lpstr>rank</vt:lpstr>
      <vt:lpstr>detailed_route</vt:lpstr>
      <vt:lpstr>车型大全</vt:lpstr>
      <vt:lpstr>test</vt:lpstr>
      <vt:lpstr>test2</vt:lpstr>
      <vt:lpstr>detailed_route_test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jengzang</dc:creator>
  <cp:lastModifiedBy>zaang joeng</cp:lastModifiedBy>
  <dcterms:created xsi:type="dcterms:W3CDTF">2015-06-05T18:19:34Z</dcterms:created>
  <dcterms:modified xsi:type="dcterms:W3CDTF">2026-01-14T10:07:11Z</dcterms:modified>
</cp:coreProperties>
</file>